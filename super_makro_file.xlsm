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14420" codeName="{7A2D7E96-6E34-419A-AE5F-296B3A7E7977}"/>
  <workbookPr filterPrivacy="1" codeName="ЭтаКнига" defaultThemeVersion="124226"/>
  <bookViews>
    <workbookView xWindow="240" yWindow="105" windowWidth="14805" windowHeight="8010" firstSheet="5" activeTab="7"/>
  </bookViews>
  <sheets>
    <sheet name="Лист3" sheetId="3" r:id="rId1"/>
    <sheet name="Лист10" sheetId="10" r:id="rId2"/>
    <sheet name="Лист2" sheetId="12" r:id="rId3"/>
    <sheet name="Лист6" sheetId="6" r:id="rId4"/>
    <sheet name="Отчет об устойчивости 1" sheetId="17" r:id="rId5"/>
    <sheet name="Отчет об устойчивости 2" sheetId="18" r:id="rId6"/>
    <sheet name="Лист8" sheetId="16" r:id="rId7"/>
    <sheet name="Лист4" sheetId="19" r:id="rId8"/>
    <sheet name="Лист1" sheetId="13" r:id="rId9"/>
    <sheet name="Лист7" sheetId="7" r:id="rId10"/>
  </sheets>
  <functionGroups builtInGroupCount="18"/>
  <definedNames>
    <definedName name="solver_adj" localSheetId="1" hidden="1">Лист10!$N$2:$N$5</definedName>
    <definedName name="solver_adj" localSheetId="2" hidden="1">Лист2!$N$2:$N$5</definedName>
    <definedName name="solver_adj" localSheetId="6" hidden="1">Лист8!$N$15:$N$17</definedName>
    <definedName name="solver_cvg" localSheetId="1" hidden="1">0.0001</definedName>
    <definedName name="solver_cvg" localSheetId="2" hidden="1">0.0001</definedName>
    <definedName name="solver_cvg" localSheetId="6" hidden="1">0.0001</definedName>
    <definedName name="solver_drv" localSheetId="1" hidden="1">1</definedName>
    <definedName name="solver_drv" localSheetId="2" hidden="1">1</definedName>
    <definedName name="solver_drv" localSheetId="6" hidden="1">1</definedName>
    <definedName name="solver_eng" localSheetId="1" hidden="1">2</definedName>
    <definedName name="solver_eng" localSheetId="2" hidden="1">2</definedName>
    <definedName name="solver_eng" localSheetId="6" hidden="1">2</definedName>
    <definedName name="solver_est" localSheetId="1" hidden="1">1</definedName>
    <definedName name="solver_est" localSheetId="2" hidden="1">1</definedName>
    <definedName name="solver_est" localSheetId="6" hidden="1">1</definedName>
    <definedName name="solver_itr" localSheetId="1" hidden="1">2147483647</definedName>
    <definedName name="solver_itr" localSheetId="2" hidden="1">2147483647</definedName>
    <definedName name="solver_itr" localSheetId="6" hidden="1">2147483647</definedName>
    <definedName name="solver_lhs1" localSheetId="1" hidden="1">Лист10!$I$6:$L$6</definedName>
    <definedName name="solver_lhs1" localSheetId="2" hidden="1">Лист2!$I$6:$L$6</definedName>
    <definedName name="solver_lhs1" localSheetId="6" hidden="1">Лист8!$I$18:$L$18</definedName>
    <definedName name="solver_mip" localSheetId="1" hidden="1">2147483647</definedName>
    <definedName name="solver_mip" localSheetId="2" hidden="1">2147483647</definedName>
    <definedName name="solver_mip" localSheetId="6" hidden="1">2147483647</definedName>
    <definedName name="solver_mni" localSheetId="1" hidden="1">30</definedName>
    <definedName name="solver_mni" localSheetId="2" hidden="1">30</definedName>
    <definedName name="solver_mni" localSheetId="6" hidden="1">30</definedName>
    <definedName name="solver_mrt" localSheetId="1" hidden="1">0.075</definedName>
    <definedName name="solver_mrt" localSheetId="2" hidden="1">0.075</definedName>
    <definedName name="solver_mrt" localSheetId="6" hidden="1">0.075</definedName>
    <definedName name="solver_msl" localSheetId="1" hidden="1">2</definedName>
    <definedName name="solver_msl" localSheetId="2" hidden="1">2</definedName>
    <definedName name="solver_msl" localSheetId="6" hidden="1">2</definedName>
    <definedName name="solver_neg" localSheetId="1" hidden="1">1</definedName>
    <definedName name="solver_neg" localSheetId="2" hidden="1">1</definedName>
    <definedName name="solver_neg" localSheetId="6" hidden="1">1</definedName>
    <definedName name="solver_nod" localSheetId="1" hidden="1">2147483647</definedName>
    <definedName name="solver_nod" localSheetId="2" hidden="1">2147483647</definedName>
    <definedName name="solver_nod" localSheetId="6" hidden="1">2147483647</definedName>
    <definedName name="solver_num" localSheetId="1" hidden="1">1</definedName>
    <definedName name="solver_num" localSheetId="2" hidden="1">1</definedName>
    <definedName name="solver_num" localSheetId="6" hidden="1">1</definedName>
    <definedName name="solver_nwt" localSheetId="1" hidden="1">1</definedName>
    <definedName name="solver_nwt" localSheetId="2" hidden="1">1</definedName>
    <definedName name="solver_nwt" localSheetId="6" hidden="1">1</definedName>
    <definedName name="solver_opt" localSheetId="1" hidden="1">Лист10!$N$6</definedName>
    <definedName name="solver_opt" localSheetId="2" hidden="1">Лист2!$N$6</definedName>
    <definedName name="solver_opt" localSheetId="6" hidden="1">Лист8!$N$18</definedName>
    <definedName name="solver_pre" localSheetId="1" hidden="1">0.000001</definedName>
    <definedName name="solver_pre" localSheetId="2" hidden="1">0.000001</definedName>
    <definedName name="solver_pre" localSheetId="6" hidden="1">0.000001</definedName>
    <definedName name="solver_rbv" localSheetId="1" hidden="1">1</definedName>
    <definedName name="solver_rbv" localSheetId="2" hidden="1">1</definedName>
    <definedName name="solver_rbv" localSheetId="6" hidden="1">1</definedName>
    <definedName name="solver_rel1" localSheetId="1" hidden="1">3</definedName>
    <definedName name="solver_rel1" localSheetId="2" hidden="1">3</definedName>
    <definedName name="solver_rel1" localSheetId="6" hidden="1">3</definedName>
    <definedName name="solver_rhs1" localSheetId="1" hidden="1">Лист10!$I$8:$L$8</definedName>
    <definedName name="solver_rhs1" localSheetId="2" hidden="1">Лист2!$I$8:$L$8</definedName>
    <definedName name="solver_rhs1" localSheetId="6" hidden="1">Лист8!$I$20:$L$20</definedName>
    <definedName name="solver_rlx" localSheetId="1" hidden="1">2</definedName>
    <definedName name="solver_rlx" localSheetId="2" hidden="1">2</definedName>
    <definedName name="solver_rlx" localSheetId="6" hidden="1">2</definedName>
    <definedName name="solver_rsd" localSheetId="1" hidden="1">0</definedName>
    <definedName name="solver_rsd" localSheetId="2" hidden="1">0</definedName>
    <definedName name="solver_rsd" localSheetId="6" hidden="1">0</definedName>
    <definedName name="solver_scl" localSheetId="1" hidden="1">1</definedName>
    <definedName name="solver_scl" localSheetId="2" hidden="1">1</definedName>
    <definedName name="solver_scl" localSheetId="6" hidden="1">1</definedName>
    <definedName name="solver_sho" localSheetId="1" hidden="1">2</definedName>
    <definedName name="solver_sho" localSheetId="2" hidden="1">2</definedName>
    <definedName name="solver_sho" localSheetId="6" hidden="1">2</definedName>
    <definedName name="solver_ssz" localSheetId="1" hidden="1">100</definedName>
    <definedName name="solver_ssz" localSheetId="2" hidden="1">100</definedName>
    <definedName name="solver_ssz" localSheetId="6" hidden="1">100</definedName>
    <definedName name="solver_tim" localSheetId="1" hidden="1">2147483647</definedName>
    <definedName name="solver_tim" localSheetId="2" hidden="1">2147483647</definedName>
    <definedName name="solver_tim" localSheetId="6" hidden="1">2147483647</definedName>
    <definedName name="solver_tol" localSheetId="1" hidden="1">0.01</definedName>
    <definedName name="solver_tol" localSheetId="2" hidden="1">0.01</definedName>
    <definedName name="solver_tol" localSheetId="6" hidden="1">0.01</definedName>
    <definedName name="solver_typ" localSheetId="1" hidden="1">2</definedName>
    <definedName name="solver_typ" localSheetId="2" hidden="1">2</definedName>
    <definedName name="solver_typ" localSheetId="6" hidden="1">2</definedName>
    <definedName name="solver_val" localSheetId="1" hidden="1">0</definedName>
    <definedName name="solver_val" localSheetId="2" hidden="1">0</definedName>
    <definedName name="solver_val" localSheetId="6" hidden="1">0</definedName>
    <definedName name="solver_ver" localSheetId="1" hidden="1">3</definedName>
    <definedName name="solver_ver" localSheetId="2" hidden="1">3</definedName>
    <definedName name="solver_ver" localSheetId="6" hidden="1">3</definedName>
  </definedNames>
  <calcPr calcId="152511"/>
</workbook>
</file>

<file path=xl/calcChain.xml><?xml version="1.0" encoding="utf-8"?>
<calcChain xmlns="http://schemas.openxmlformats.org/spreadsheetml/2006/main">
  <c r="F5" i="19" l="1"/>
  <c r="F4" i="19"/>
  <c r="F3" i="19"/>
  <c r="C5" i="19"/>
  <c r="D5" i="19"/>
  <c r="C4" i="19"/>
  <c r="R15" i="16" l="1" a="1"/>
  <c r="R15" i="16" s="1"/>
  <c r="L18" i="16"/>
  <c r="K18" i="16"/>
  <c r="J18" i="16"/>
  <c r="I18" i="16"/>
  <c r="N18" i="16"/>
  <c r="P15" i="16" s="1"/>
  <c r="I15" i="16" a="1"/>
  <c r="I15" i="16" s="1"/>
  <c r="C21" i="16"/>
  <c r="C20" i="16"/>
  <c r="E18" i="16"/>
  <c r="D18" i="16"/>
  <c r="C18" i="16"/>
  <c r="B18" i="16"/>
  <c r="F17" i="16"/>
  <c r="F16" i="16"/>
  <c r="F15" i="16"/>
  <c r="R2" i="16" a="1"/>
  <c r="R2" i="16" s="1"/>
  <c r="R18" i="16" l="1"/>
  <c r="R17" i="16"/>
  <c r="R16" i="16"/>
  <c r="N19" i="16"/>
  <c r="P17" i="16"/>
  <c r="P16" i="16"/>
  <c r="K17" i="16"/>
  <c r="K16" i="16"/>
  <c r="K15" i="16"/>
  <c r="L17" i="16"/>
  <c r="L16" i="16"/>
  <c r="L15" i="16"/>
  <c r="J17" i="16"/>
  <c r="J16" i="16"/>
  <c r="J15" i="16"/>
  <c r="I17" i="16"/>
  <c r="I16" i="16"/>
  <c r="R5" i="16"/>
  <c r="R4" i="16"/>
  <c r="R3" i="16"/>
  <c r="L6" i="16" l="1"/>
  <c r="K6" i="16"/>
  <c r="J6" i="16"/>
  <c r="I6" i="16"/>
  <c r="N6" i="16"/>
  <c r="P5" i="16" s="1"/>
  <c r="I2" i="16" a="1"/>
  <c r="I2" i="16" s="1"/>
  <c r="C9" i="16"/>
  <c r="C8" i="16"/>
  <c r="E6" i="16"/>
  <c r="D6" i="16"/>
  <c r="C6" i="16"/>
  <c r="B6" i="16"/>
  <c r="F5" i="16"/>
  <c r="F4" i="16"/>
  <c r="F3" i="16"/>
  <c r="F2" i="16"/>
  <c r="L6" i="12"/>
  <c r="K6" i="12"/>
  <c r="J6" i="12"/>
  <c r="I6" i="12"/>
  <c r="P5" i="12"/>
  <c r="P4" i="12"/>
  <c r="P3" i="12"/>
  <c r="P2" i="12"/>
  <c r="N7" i="12"/>
  <c r="N6" i="12"/>
  <c r="I2" i="12" a="1"/>
  <c r="L2" i="12" s="1"/>
  <c r="C9" i="12"/>
  <c r="C8" i="12"/>
  <c r="E6" i="12"/>
  <c r="D6" i="12"/>
  <c r="C6" i="12"/>
  <c r="B6" i="12"/>
  <c r="F5" i="12"/>
  <c r="F4" i="12"/>
  <c r="F3" i="12"/>
  <c r="F2" i="12"/>
  <c r="R2" i="12" a="1"/>
  <c r="R2" i="12" s="1"/>
  <c r="P5" i="10"/>
  <c r="P4" i="10"/>
  <c r="P3" i="10"/>
  <c r="P2" i="10"/>
  <c r="I2" i="10" a="1"/>
  <c r="J2" i="10" s="1"/>
  <c r="C9" i="10"/>
  <c r="C8" i="10"/>
  <c r="E6" i="10"/>
  <c r="D6" i="10"/>
  <c r="C6" i="10"/>
  <c r="B6" i="10"/>
  <c r="F5" i="10"/>
  <c r="F4" i="10"/>
  <c r="F3" i="10"/>
  <c r="F2" i="10"/>
  <c r="P2" i="16" l="1"/>
  <c r="P3" i="16"/>
  <c r="P4" i="16"/>
  <c r="N7" i="16"/>
  <c r="K5" i="16"/>
  <c r="K4" i="16"/>
  <c r="K3" i="16"/>
  <c r="K2" i="16"/>
  <c r="L5" i="16"/>
  <c r="L4" i="16"/>
  <c r="L3" i="16"/>
  <c r="L2" i="16"/>
  <c r="J5" i="16"/>
  <c r="J4" i="16"/>
  <c r="J3" i="16"/>
  <c r="J2" i="16"/>
  <c r="I5" i="16"/>
  <c r="I4" i="16"/>
  <c r="I3" i="16"/>
  <c r="K5" i="12"/>
  <c r="K4" i="12"/>
  <c r="K3" i="12"/>
  <c r="K2" i="12"/>
  <c r="J2" i="12"/>
  <c r="L5" i="12"/>
  <c r="J5" i="12"/>
  <c r="J4" i="12"/>
  <c r="J3" i="12"/>
  <c r="I5" i="12"/>
  <c r="I4" i="12"/>
  <c r="I3" i="12"/>
  <c r="I2" i="12"/>
  <c r="L4" i="12"/>
  <c r="L3" i="12"/>
  <c r="R4" i="12"/>
  <c r="R3" i="12"/>
  <c r="R5" i="12"/>
  <c r="I5" i="10"/>
  <c r="I4" i="10"/>
  <c r="I2" i="10"/>
  <c r="L4" i="10"/>
  <c r="L2" i="10"/>
  <c r="K5" i="10"/>
  <c r="K4" i="10"/>
  <c r="K3" i="10"/>
  <c r="K2" i="10"/>
  <c r="I3" i="10"/>
  <c r="L5" i="10"/>
  <c r="L3" i="10"/>
  <c r="J5" i="10"/>
  <c r="J4" i="10"/>
  <c r="J3" i="10"/>
  <c r="N13" i="10" a="1"/>
  <c r="N13" i="10" s="1"/>
  <c r="N6" i="10"/>
  <c r="N16" i="10" l="1"/>
  <c r="N14" i="10"/>
  <c r="N15" i="10"/>
  <c r="P6" i="10"/>
  <c r="K6" i="10"/>
  <c r="L6" i="10"/>
  <c r="I6" i="10"/>
  <c r="I8" i="7"/>
  <c r="H8" i="7"/>
  <c r="G8" i="7"/>
  <c r="F8" i="7"/>
  <c r="O6" i="7"/>
  <c r="N6" i="7"/>
  <c r="Q6" i="7" s="1"/>
  <c r="M6" i="7"/>
  <c r="K6" i="7"/>
  <c r="J6" i="7"/>
  <c r="Q5" i="7"/>
  <c r="O5" i="7"/>
  <c r="N5" i="7"/>
  <c r="M5" i="7"/>
  <c r="K5" i="7"/>
  <c r="J5" i="7"/>
  <c r="O4" i="7"/>
  <c r="N4" i="7"/>
  <c r="Q4" i="7" s="1"/>
  <c r="M4" i="7"/>
  <c r="K4" i="7"/>
  <c r="J4" i="7"/>
  <c r="O3" i="7"/>
  <c r="N3" i="7"/>
  <c r="Q3" i="7" s="1"/>
  <c r="M3" i="7"/>
  <c r="K3" i="7"/>
  <c r="J3" i="7"/>
  <c r="I13" i="7"/>
  <c r="I12" i="7"/>
  <c r="I11" i="7"/>
  <c r="I10" i="7"/>
  <c r="I7" i="7"/>
  <c r="H13" i="7"/>
  <c r="H12" i="7"/>
  <c r="H11" i="7"/>
  <c r="H10" i="7"/>
  <c r="H7" i="7"/>
  <c r="G13" i="7"/>
  <c r="G12" i="7"/>
  <c r="G11" i="7"/>
  <c r="G10" i="7"/>
  <c r="G7" i="7"/>
  <c r="F13" i="7"/>
  <c r="F12" i="7"/>
  <c r="F11" i="7"/>
  <c r="F10" i="7"/>
  <c r="F7" i="7"/>
  <c r="I6" i="7"/>
  <c r="I5" i="7"/>
  <c r="I4" i="7"/>
  <c r="I3" i="7"/>
  <c r="H5" i="7"/>
  <c r="H6" i="7"/>
  <c r="H4" i="7"/>
  <c r="H3" i="7"/>
  <c r="G6" i="7"/>
  <c r="G5" i="7"/>
  <c r="G4" i="7"/>
  <c r="G3" i="7"/>
  <c r="F6" i="7"/>
  <c r="F5" i="7"/>
  <c r="F4" i="7"/>
  <c r="F3" i="7"/>
  <c r="K4" i="6"/>
  <c r="J4" i="6"/>
  <c r="M4" i="6" s="1"/>
  <c r="I4" i="6"/>
  <c r="G4" i="6"/>
  <c r="F4" i="6"/>
  <c r="K3" i="6"/>
  <c r="J3" i="6"/>
  <c r="M3" i="6" s="1"/>
  <c r="I3" i="6"/>
  <c r="G3" i="6"/>
  <c r="F3" i="6"/>
  <c r="M2" i="6"/>
  <c r="K2" i="6"/>
  <c r="J2" i="6"/>
  <c r="I2" i="6"/>
  <c r="G2" i="6"/>
  <c r="F2" i="6"/>
  <c r="E10" i="6"/>
  <c r="E9" i="6"/>
  <c r="E8" i="6"/>
  <c r="E5" i="6"/>
  <c r="D10" i="6"/>
  <c r="D9" i="6"/>
  <c r="D8" i="6"/>
  <c r="D5" i="6"/>
  <c r="C10" i="6"/>
  <c r="C9" i="6"/>
  <c r="C8" i="6"/>
  <c r="C5" i="6"/>
  <c r="B10" i="6"/>
  <c r="B9" i="6"/>
  <c r="B8" i="6"/>
  <c r="B5" i="6"/>
  <c r="J6" i="10" l="1"/>
  <c r="G2" i="3" l="1"/>
  <c r="K5" i="3"/>
  <c r="J5" i="3"/>
  <c r="M5" i="3" s="1"/>
  <c r="I5" i="3"/>
  <c r="G5" i="3"/>
  <c r="F5" i="3"/>
  <c r="K4" i="3"/>
  <c r="J4" i="3"/>
  <c r="M4" i="3" s="1"/>
  <c r="I4" i="3"/>
  <c r="G4" i="3"/>
  <c r="F4" i="3"/>
  <c r="K3" i="3"/>
  <c r="J3" i="3"/>
  <c r="M3" i="3" s="1"/>
  <c r="I3" i="3"/>
  <c r="G3" i="3"/>
  <c r="F3" i="3"/>
  <c r="M2" i="3"/>
  <c r="K2" i="3"/>
  <c r="J2" i="3"/>
  <c r="I2" i="3"/>
  <c r="F2" i="3"/>
  <c r="E12" i="3"/>
  <c r="E11" i="3"/>
  <c r="E10" i="3"/>
  <c r="E9" i="3"/>
  <c r="E6" i="3"/>
  <c r="D12" i="3"/>
  <c r="D11" i="3"/>
  <c r="D10" i="3"/>
  <c r="D9" i="3"/>
  <c r="D6" i="3"/>
  <c r="C12" i="3"/>
  <c r="C11" i="3"/>
  <c r="C10" i="3"/>
  <c r="C9" i="3"/>
  <c r="C6" i="3"/>
  <c r="B12" i="3"/>
  <c r="B11" i="3"/>
  <c r="B10" i="3"/>
  <c r="B9" i="3"/>
  <c r="B6" i="3"/>
</calcChain>
</file>

<file path=xl/sharedStrings.xml><?xml version="1.0" encoding="utf-8"?>
<sst xmlns="http://schemas.openxmlformats.org/spreadsheetml/2006/main" count="220" uniqueCount="99">
  <si>
    <t>risks matrix</t>
  </si>
  <si>
    <t>Weights</t>
  </si>
  <si>
    <t>max(i)</t>
  </si>
  <si>
    <t>min(j) Vald</t>
  </si>
  <si>
    <t>Seiv max(r(j))</t>
  </si>
  <si>
    <t>gyrvic gamm =</t>
  </si>
  <si>
    <t>bayes param</t>
  </si>
  <si>
    <t>Laplass param</t>
  </si>
  <si>
    <t>Hodj_Lem alpha param</t>
  </si>
  <si>
    <t>n</t>
  </si>
  <si>
    <t>c11</t>
  </si>
  <si>
    <t>c12</t>
  </si>
  <si>
    <t>c22</t>
  </si>
  <si>
    <t>c31</t>
  </si>
  <si>
    <t>c32</t>
  </si>
  <si>
    <t>c21</t>
  </si>
  <si>
    <t>c41</t>
  </si>
  <si>
    <t>c42</t>
  </si>
  <si>
    <t>z1</t>
  </si>
  <si>
    <t>z2</t>
  </si>
  <si>
    <t>q1</t>
  </si>
  <si>
    <t>q2</t>
  </si>
  <si>
    <t>p1</t>
  </si>
  <si>
    <t>p2</t>
  </si>
  <si>
    <t>gamm</t>
  </si>
  <si>
    <t>A1</t>
  </si>
  <si>
    <t>A2</t>
  </si>
  <si>
    <t>A3</t>
  </si>
  <si>
    <t>A4</t>
  </si>
  <si>
    <t>Z1R1</t>
  </si>
  <si>
    <t>Z2R1</t>
  </si>
  <si>
    <t>Z1R2</t>
  </si>
  <si>
    <t>Z2R2</t>
  </si>
  <si>
    <t>min по i</t>
  </si>
  <si>
    <t>max по j</t>
  </si>
  <si>
    <t>alpha</t>
  </si>
  <si>
    <t>betta</t>
  </si>
  <si>
    <t>задача линейного программирования</t>
  </si>
  <si>
    <t>y1=</t>
  </si>
  <si>
    <t>y2=</t>
  </si>
  <si>
    <t>y3=</t>
  </si>
  <si>
    <t>y4=</t>
  </si>
  <si>
    <t>переменные</t>
  </si>
  <si>
    <t>&gt;=</t>
  </si>
  <si>
    <t>q1=</t>
  </si>
  <si>
    <t>q2=</t>
  </si>
  <si>
    <t>q3=</t>
  </si>
  <si>
    <t>q4=</t>
  </si>
  <si>
    <t>Microsoft Excel 15.0 Отчет об устойчивости</t>
  </si>
  <si>
    <t>Ячейки переменных</t>
  </si>
  <si>
    <t>Ячейка</t>
  </si>
  <si>
    <t>Имя</t>
  </si>
  <si>
    <t>Окончательное</t>
  </si>
  <si>
    <t>Значение</t>
  </si>
  <si>
    <t>Приведенн.</t>
  </si>
  <si>
    <t>Стоимость</t>
  </si>
  <si>
    <t>Целевая функция</t>
  </si>
  <si>
    <t>Коэффициент</t>
  </si>
  <si>
    <t>Допустимое</t>
  </si>
  <si>
    <t>Увеличение</t>
  </si>
  <si>
    <t>Уменьшение</t>
  </si>
  <si>
    <t>Ограничения</t>
  </si>
  <si>
    <t>Тень</t>
  </si>
  <si>
    <t>Цена</t>
  </si>
  <si>
    <t>Ограничение</t>
  </si>
  <si>
    <t>Правая сторона</t>
  </si>
  <si>
    <t>$N$2</t>
  </si>
  <si>
    <t>$N$3</t>
  </si>
  <si>
    <t>$N$4</t>
  </si>
  <si>
    <t>$N$5</t>
  </si>
  <si>
    <t>$I$6</t>
  </si>
  <si>
    <t>$J$6</t>
  </si>
  <si>
    <t>$K$6</t>
  </si>
  <si>
    <t>$L$6</t>
  </si>
  <si>
    <t>целевая функция</t>
  </si>
  <si>
    <t>x</t>
  </si>
  <si>
    <t>p</t>
  </si>
  <si>
    <t>linear proggramming task</t>
  </si>
  <si>
    <t>variavles</t>
  </si>
  <si>
    <t>funtion:</t>
  </si>
  <si>
    <t>price of the game</t>
  </si>
  <si>
    <t>Лист: [super_makro_file.xlsm]Лист8</t>
  </si>
  <si>
    <t>Отчет создан: 03.05.2021 12:30:16</t>
  </si>
  <si>
    <t>y1= variavles</t>
  </si>
  <si>
    <t>y2= variavles</t>
  </si>
  <si>
    <t>y3= variavles</t>
  </si>
  <si>
    <t>y4= variavles</t>
  </si>
  <si>
    <t>max по j linear proggramming task</t>
  </si>
  <si>
    <t>Отчет создан: 03.05.2021 12:34:12</t>
  </si>
  <si>
    <t>$N$15</t>
  </si>
  <si>
    <t>$N$16</t>
  </si>
  <si>
    <t>$N$17</t>
  </si>
  <si>
    <t>$I$18</t>
  </si>
  <si>
    <t>$J$18</t>
  </si>
  <si>
    <t>max по j &gt;=</t>
  </si>
  <si>
    <t>$K$18</t>
  </si>
  <si>
    <t>$L$18</t>
  </si>
  <si>
    <t>a</t>
  </si>
  <si>
    <t>K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</si>
</sst>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3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charset val="204"/>
      <scheme val="minor"/>
    </font>
    <font>
      <b/>
      <sz val="11"/>
      <color indexed="18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6">
    <border>
      <left/>
      <right/>
      <top/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 style="medium">
        <color indexed="23"/>
      </top>
      <bottom/>
      <diagonal/>
    </border>
    <border>
      <left/>
      <right/>
      <top/>
      <bottom style="medium">
        <color indexed="23"/>
      </bottom>
      <diagonal/>
    </border>
    <border>
      <left/>
      <right/>
      <top style="thin">
        <color indexed="23"/>
      </top>
      <bottom/>
      <diagonal/>
    </border>
    <border>
      <left/>
      <right/>
      <top style="thin">
        <color indexed="23"/>
      </top>
      <bottom style="medium">
        <color indexed="23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</borders>
  <cellStyleXfs count="1">
    <xf numFmtId="0" fontId="0" fillId="0" borderId="0"/>
  </cellStyleXfs>
  <cellXfs count="27">
    <xf numFmtId="0" fontId="0" fillId="0" borderId="0" xfId="0"/>
    <xf numFmtId="0" fontId="0" fillId="0" borderId="1" xfId="0" applyBorder="1"/>
    <xf numFmtId="0" fontId="0" fillId="0" borderId="0" xfId="0" applyBorder="1"/>
    <xf numFmtId="0" fontId="0" fillId="0" borderId="2" xfId="0" applyBorder="1"/>
    <xf numFmtId="0" fontId="0" fillId="0" borderId="3" xfId="0" applyBorder="1"/>
    <xf numFmtId="0" fontId="0" fillId="0" borderId="4" xfId="0" applyBorder="1"/>
    <xf numFmtId="0" fontId="0" fillId="0" borderId="5" xfId="0" applyBorder="1"/>
    <xf numFmtId="0" fontId="0" fillId="0" borderId="6" xfId="0" applyBorder="1"/>
    <xf numFmtId="0" fontId="0" fillId="0" borderId="7" xfId="0" applyBorder="1"/>
    <xf numFmtId="0" fontId="0" fillId="0" borderId="8" xfId="0" applyBorder="1"/>
    <xf numFmtId="0" fontId="0" fillId="0" borderId="0" xfId="0" applyAlignment="1"/>
    <xf numFmtId="0" fontId="1" fillId="0" borderId="0" xfId="0" applyFont="1"/>
    <xf numFmtId="0" fontId="0" fillId="0" borderId="11" xfId="0" applyFill="1" applyBorder="1" applyAlignment="1"/>
    <xf numFmtId="0" fontId="0" fillId="0" borderId="12" xfId="0" applyFill="1" applyBorder="1" applyAlignment="1"/>
    <xf numFmtId="0" fontId="0" fillId="0" borderId="7" xfId="0" applyBorder="1"/>
    <xf numFmtId="0" fontId="0" fillId="0" borderId="7" xfId="0" applyBorder="1"/>
    <xf numFmtId="0" fontId="0" fillId="0" borderId="0" xfId="0" applyBorder="1" applyAlignment="1"/>
    <xf numFmtId="0" fontId="0" fillId="0" borderId="0" xfId="0" applyBorder="1"/>
    <xf numFmtId="0" fontId="2" fillId="0" borderId="9" xfId="0" applyFont="1" applyFill="1" applyBorder="1" applyAlignment="1">
      <alignment horizontal="center"/>
    </xf>
    <xf numFmtId="0" fontId="2" fillId="0" borderId="10" xfId="0" applyFont="1" applyFill="1" applyBorder="1" applyAlignment="1">
      <alignment horizontal="center"/>
    </xf>
    <xf numFmtId="0" fontId="0" fillId="0" borderId="7" xfId="0" applyBorder="1" applyAlignment="1"/>
    <xf numFmtId="0" fontId="0" fillId="0" borderId="7" xfId="0" applyBorder="1"/>
    <xf numFmtId="0" fontId="0" fillId="0" borderId="0" xfId="0" applyBorder="1"/>
    <xf numFmtId="2" fontId="0" fillId="0" borderId="6" xfId="0" applyNumberFormat="1" applyBorder="1"/>
    <xf numFmtId="0" fontId="0" fillId="0" borderId="13" xfId="0" applyBorder="1"/>
    <xf numFmtId="0" fontId="0" fillId="0" borderId="14" xfId="0" applyBorder="1"/>
    <xf numFmtId="0" fontId="0" fillId="0" borderId="15" xfId="0" applyBorder="1"/>
  </cellXfs>
  <cellStyles count="1">
    <cellStyle name="Обычный" xfId="0" builtinId="0"/>
  </cellStyles>
  <dxfs count="0"/>
  <tableStyles count="0" defaultTableStyle="TableStyleMedium2" defaultPivotStyle="PivotStyleMedium9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alcChain" Target="calcChain.xml"/></Relationships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Стандартная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3"/>
  <dimension ref="A1:M12"/>
  <sheetViews>
    <sheetView workbookViewId="0">
      <selection activeCell="L10" sqref="L10"/>
    </sheetView>
  </sheetViews>
  <sheetFormatPr defaultRowHeight="15" x14ac:dyDescent="0.25"/>
  <cols>
    <col min="6" max="8" width="15.7109375" customWidth="1"/>
    <col min="10" max="11" width="15.7109375" customWidth="1"/>
    <col min="12" max="12" width="30.7109375" customWidth="1"/>
  </cols>
  <sheetData>
    <row r="1" spans="1:13" x14ac:dyDescent="0.25">
      <c r="F1" t="s">
        <v>3</v>
      </c>
      <c r="G1" t="s">
        <v>4</v>
      </c>
      <c r="H1" t="s">
        <v>5</v>
      </c>
      <c r="I1">
        <v>0.7</v>
      </c>
      <c r="J1" t="s">
        <v>6</v>
      </c>
      <c r="K1" t="s">
        <v>7</v>
      </c>
      <c r="L1" t="s">
        <v>8</v>
      </c>
      <c r="M1">
        <v>0.7</v>
      </c>
    </row>
    <row r="2" spans="1:13" x14ac:dyDescent="0.25">
      <c r="B2">
        <v>3</v>
      </c>
      <c r="C2">
        <v>3</v>
      </c>
      <c r="D2">
        <v>3</v>
      </c>
      <c r="E2">
        <v>3</v>
      </c>
      <c r="F2">
        <f>MIN($B$2:$E$2)</f>
        <v>3</v>
      </c>
      <c r="G2">
        <f>MAX($B$9:$E$9)</f>
        <v>1.7999999999999998</v>
      </c>
      <c r="I2">
        <f>$F$2*$I$1+MAX($B$2:$E$2)*(1-$I$1)</f>
        <v>3</v>
      </c>
      <c r="J2">
        <f>SUMPRODUCT($B$2:$E$2,$B$7:$E$7)</f>
        <v>3</v>
      </c>
      <c r="K2">
        <f>AVERAGE($B$2:$E$2)</f>
        <v>3</v>
      </c>
      <c r="M2">
        <f>$M$1*$J$2+(1-$M$1)*$F$2</f>
        <v>3</v>
      </c>
    </row>
    <row r="3" spans="1:13" x14ac:dyDescent="0.25">
      <c r="B3">
        <v>1.6</v>
      </c>
      <c r="C3">
        <v>3.6</v>
      </c>
      <c r="D3">
        <v>3.6</v>
      </c>
      <c r="E3">
        <v>3.6</v>
      </c>
      <c r="F3">
        <f>MIN($B$3:$E$3)</f>
        <v>1.6</v>
      </c>
      <c r="G3">
        <f>MAX($B$10:$E$10)</f>
        <v>1.4</v>
      </c>
      <c r="I3">
        <f>$F$3*$I$1+MAX($B$3:$E$3)*(1-$I$1)</f>
        <v>2.2000000000000002</v>
      </c>
      <c r="J3">
        <f>SUMPRODUCT($B$3:$E$3,$B$7:$E$7)</f>
        <v>3.2</v>
      </c>
      <c r="K3">
        <f>AVERAGE($B$3:$E$3)</f>
        <v>3.1</v>
      </c>
      <c r="M3">
        <f>$M$1*$J$3+(1-$M$1)*$F$3</f>
        <v>2.7199999999999998</v>
      </c>
    </row>
    <row r="4" spans="1:13" x14ac:dyDescent="0.25">
      <c r="B4">
        <v>0.2</v>
      </c>
      <c r="C4">
        <v>2.2000000000000002</v>
      </c>
      <c r="D4">
        <v>4.2</v>
      </c>
      <c r="E4">
        <v>4.2</v>
      </c>
      <c r="F4">
        <f>MIN($B$4:$E$4)</f>
        <v>0.2</v>
      </c>
      <c r="G4">
        <f>MAX($B$11:$E$11)</f>
        <v>2.8</v>
      </c>
      <c r="I4">
        <f>$F$4*$I$1+MAX($B$4:$E$4)*(1-$I$1)</f>
        <v>1.4000000000000001</v>
      </c>
      <c r="J4">
        <f>SUMPRODUCT($B$4:$E$4,$B$7:$E$7)</f>
        <v>2.8000000000000003</v>
      </c>
      <c r="K4">
        <f>AVERAGE($B$4:$E$4)</f>
        <v>2.7</v>
      </c>
      <c r="M4">
        <f>$M$1*$J$4+(1-$M$1)*$F$4</f>
        <v>2.02</v>
      </c>
    </row>
    <row r="5" spans="1:13" x14ac:dyDescent="0.25">
      <c r="B5">
        <v>-1.2</v>
      </c>
      <c r="C5">
        <v>0.8</v>
      </c>
      <c r="D5">
        <v>2.8</v>
      </c>
      <c r="E5">
        <v>4.8</v>
      </c>
      <c r="F5">
        <f>MIN($B$5:$E$5)</f>
        <v>-1.2</v>
      </c>
      <c r="G5">
        <f>MAX($B$12:$E$12)</f>
        <v>4.2</v>
      </c>
      <c r="I5">
        <f>$F$5*$I$1+MAX($B$5:$E$5)*(1-$I$1)</f>
        <v>0.6000000000000002</v>
      </c>
      <c r="J5">
        <f>SUMPRODUCT($B$5:$E$5,$B$7:$E$7)</f>
        <v>1.5999999999999999</v>
      </c>
      <c r="K5">
        <f>AVERAGE($B$5:$E$5)</f>
        <v>1.7999999999999998</v>
      </c>
      <c r="M5">
        <f>$M$1*$J$5+(1-$M$1)*$F$5</f>
        <v>0.75999999999999979</v>
      </c>
    </row>
    <row r="6" spans="1:13" x14ac:dyDescent="0.25">
      <c r="A6" t="s">
        <v>2</v>
      </c>
      <c r="B6">
        <f>MAX($B$2:$B$5)</f>
        <v>3</v>
      </c>
      <c r="C6">
        <f>MAX($C$2:$C$5)</f>
        <v>3.6</v>
      </c>
      <c r="D6">
        <f>MAX($D$2:$D$5)</f>
        <v>4.2</v>
      </c>
      <c r="E6">
        <f>MAX($E$2:$E$5)</f>
        <v>4.8</v>
      </c>
    </row>
    <row r="7" spans="1:13" x14ac:dyDescent="0.25">
      <c r="A7" t="s">
        <v>1</v>
      </c>
      <c r="B7">
        <v>0.2</v>
      </c>
      <c r="C7">
        <v>0.3</v>
      </c>
      <c r="D7">
        <v>0.4</v>
      </c>
      <c r="E7">
        <v>0.1</v>
      </c>
    </row>
    <row r="9" spans="1:13" x14ac:dyDescent="0.25">
      <c r="A9" t="s">
        <v>0</v>
      </c>
      <c r="B9">
        <f>$B$6-$B$2</f>
        <v>0</v>
      </c>
      <c r="C9">
        <f>$C$6-$C$2</f>
        <v>0.60000000000000009</v>
      </c>
      <c r="D9">
        <f>$D$6-$D$2</f>
        <v>1.2000000000000002</v>
      </c>
      <c r="E9">
        <f>$E$6-$E$2</f>
        <v>1.7999999999999998</v>
      </c>
    </row>
    <row r="10" spans="1:13" x14ac:dyDescent="0.25">
      <c r="B10">
        <f>$B$6-$B$3</f>
        <v>1.4</v>
      </c>
      <c r="C10">
        <f>$C$6-$C$3</f>
        <v>0</v>
      </c>
      <c r="D10">
        <f>$D$6-$D$3</f>
        <v>0.60000000000000009</v>
      </c>
      <c r="E10">
        <f>$E$6-$E$3</f>
        <v>1.1999999999999997</v>
      </c>
    </row>
    <row r="11" spans="1:13" x14ac:dyDescent="0.25">
      <c r="B11">
        <f>$B$6-$B$4</f>
        <v>2.8</v>
      </c>
      <c r="C11">
        <f>$C$6-$C$4</f>
        <v>1.4</v>
      </c>
      <c r="D11">
        <f>$D$6-$D$4</f>
        <v>0</v>
      </c>
      <c r="E11">
        <f>$E$6-$E$4</f>
        <v>0.59999999999999964</v>
      </c>
    </row>
    <row r="12" spans="1:13" x14ac:dyDescent="0.25">
      <c r="B12">
        <f>$B$6-$B$5</f>
        <v>4.2</v>
      </c>
      <c r="C12">
        <f>$C$6-$C$5</f>
        <v>2.8</v>
      </c>
      <c r="D12">
        <f>$D$6-$D$5</f>
        <v>1.4000000000000004</v>
      </c>
      <c r="E12">
        <f>$E$6-$E$5</f>
        <v>0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9"/>
  <dimension ref="A1:P22"/>
  <sheetViews>
    <sheetView workbookViewId="0">
      <selection activeCell="M5" sqref="M5"/>
    </sheetView>
  </sheetViews>
  <sheetFormatPr defaultRowHeight="15" x14ac:dyDescent="0.25"/>
  <cols>
    <col min="13" max="13" width="17.85546875" customWidth="1"/>
  </cols>
  <sheetData>
    <row r="1" spans="1:16" ht="15.75" thickBot="1" x14ac:dyDescent="0.3">
      <c r="F1" t="s">
        <v>33</v>
      </c>
      <c r="I1" s="20" t="s">
        <v>37</v>
      </c>
      <c r="J1" s="20"/>
      <c r="K1" s="20"/>
      <c r="L1" s="20"/>
      <c r="N1" t="s">
        <v>42</v>
      </c>
    </row>
    <row r="2" spans="1:16" x14ac:dyDescent="0.25">
      <c r="B2" s="3">
        <v>-13</v>
      </c>
      <c r="C2" s="4">
        <v>17</v>
      </c>
      <c r="D2" s="4">
        <v>17</v>
      </c>
      <c r="E2" s="5">
        <v>17</v>
      </c>
      <c r="F2">
        <f>MIN($B$2:$E$2)</f>
        <v>-13</v>
      </c>
      <c r="I2" s="3">
        <f t="array" ref="I2:L5">$B$2:$E$5+IF(MIN($B$2:$E$5)&lt;0,-MIN($B$2:$E$5),0)</f>
        <v>7</v>
      </c>
      <c r="J2" s="4">
        <v>37</v>
      </c>
      <c r="K2" s="4">
        <v>37</v>
      </c>
      <c r="L2" s="5">
        <v>37</v>
      </c>
      <c r="M2" t="s">
        <v>38</v>
      </c>
      <c r="N2">
        <v>1.2914093206064011E-2</v>
      </c>
      <c r="O2" t="s">
        <v>44</v>
      </c>
      <c r="P2">
        <f>$N$2/$N$6</f>
        <v>0.33310879083866624</v>
      </c>
    </row>
    <row r="3" spans="1:16" x14ac:dyDescent="0.25">
      <c r="B3" s="1">
        <v>11</v>
      </c>
      <c r="C3" s="2">
        <v>-12</v>
      </c>
      <c r="D3" s="2">
        <v>11</v>
      </c>
      <c r="E3" s="6">
        <v>11</v>
      </c>
      <c r="F3">
        <f>MIN($B$3:$E$3)</f>
        <v>-12</v>
      </c>
      <c r="I3" s="1">
        <v>31</v>
      </c>
      <c r="J3" s="2">
        <v>8</v>
      </c>
      <c r="K3" s="2">
        <v>31</v>
      </c>
      <c r="L3" s="6">
        <v>31</v>
      </c>
      <c r="M3" t="s">
        <v>39</v>
      </c>
      <c r="N3">
        <v>1.684446939921393E-2</v>
      </c>
      <c r="O3" t="s">
        <v>45</v>
      </c>
      <c r="P3">
        <f>$N$3/$N$6</f>
        <v>0.43448972718086909</v>
      </c>
    </row>
    <row r="4" spans="1:16" x14ac:dyDescent="0.25">
      <c r="B4" s="1">
        <v>23</v>
      </c>
      <c r="C4" s="2">
        <v>23</v>
      </c>
      <c r="D4" s="2">
        <v>-20</v>
      </c>
      <c r="E4" s="6">
        <v>23</v>
      </c>
      <c r="F4">
        <f>MIN($B$4:$E$4)</f>
        <v>-20</v>
      </c>
      <c r="I4" s="1">
        <v>43</v>
      </c>
      <c r="J4" s="2">
        <v>43</v>
      </c>
      <c r="K4" s="2">
        <v>0</v>
      </c>
      <c r="L4" s="6">
        <v>43</v>
      </c>
      <c r="M4" t="s">
        <v>40</v>
      </c>
      <c r="N4">
        <v>9.009832469346982E-3</v>
      </c>
      <c r="O4" t="s">
        <v>46</v>
      </c>
      <c r="P4">
        <f>$N$4/$N$6</f>
        <v>0.23240148198046476</v>
      </c>
    </row>
    <row r="5" spans="1:16" ht="15.75" thickBot="1" x14ac:dyDescent="0.3">
      <c r="B5" s="7">
        <v>5</v>
      </c>
      <c r="C5" s="14">
        <v>5</v>
      </c>
      <c r="D5" s="14">
        <v>5</v>
      </c>
      <c r="E5" s="9">
        <v>-7</v>
      </c>
      <c r="F5">
        <f>MIN($B$5:$E$5)</f>
        <v>-7</v>
      </c>
      <c r="I5" s="7">
        <v>25</v>
      </c>
      <c r="J5" s="14">
        <v>25</v>
      </c>
      <c r="K5" s="14">
        <v>25</v>
      </c>
      <c r="L5" s="9">
        <v>13</v>
      </c>
      <c r="M5" t="s">
        <v>41</v>
      </c>
      <c r="N5">
        <v>0</v>
      </c>
      <c r="O5" t="s">
        <v>47</v>
      </c>
      <c r="P5">
        <f>$N$5/$N$6</f>
        <v>0</v>
      </c>
    </row>
    <row r="6" spans="1:16" x14ac:dyDescent="0.25">
      <c r="A6" t="s">
        <v>34</v>
      </c>
      <c r="B6">
        <f>MAX($B$2:$B$5)</f>
        <v>23</v>
      </c>
      <c r="C6">
        <f>MAX($C$2:$C$5)</f>
        <v>23</v>
      </c>
      <c r="D6">
        <f>MAX($D$2:$D$5)</f>
        <v>17</v>
      </c>
      <c r="E6">
        <f>MAX($E$2:$E$5)</f>
        <v>23</v>
      </c>
      <c r="I6">
        <f>SUMPRODUCT(I2:I5,$N$2:$N$5)</f>
        <v>1</v>
      </c>
      <c r="J6">
        <f t="shared" ref="J6:L6" si="0">SUMPRODUCT(J2:J5,$N$2:$N$5)</f>
        <v>1</v>
      </c>
      <c r="K6">
        <f t="shared" si="0"/>
        <v>1.0000000000000002</v>
      </c>
      <c r="L6">
        <f t="shared" si="0"/>
        <v>1.3874227961819203</v>
      </c>
      <c r="M6" t="s">
        <v>74</v>
      </c>
      <c r="N6">
        <f>SUM(N2:N5)</f>
        <v>3.8768395074624921E-2</v>
      </c>
      <c r="P6">
        <f>1/N6</f>
        <v>25.794206803637586</v>
      </c>
    </row>
    <row r="7" spans="1:16" x14ac:dyDescent="0.25">
      <c r="I7" t="s">
        <v>43</v>
      </c>
      <c r="J7" t="s">
        <v>43</v>
      </c>
      <c r="K7" t="s">
        <v>43</v>
      </c>
      <c r="L7" t="s">
        <v>43</v>
      </c>
    </row>
    <row r="8" spans="1:16" x14ac:dyDescent="0.25">
      <c r="B8" t="s">
        <v>35</v>
      </c>
      <c r="C8">
        <f>MAX($F$2:$F$5)</f>
        <v>-7</v>
      </c>
      <c r="I8">
        <v>1</v>
      </c>
      <c r="J8">
        <v>1</v>
      </c>
      <c r="K8">
        <v>1</v>
      </c>
      <c r="L8">
        <v>1</v>
      </c>
    </row>
    <row r="9" spans="1:16" x14ac:dyDescent="0.25">
      <c r="B9" t="s">
        <v>36</v>
      </c>
      <c r="C9">
        <f>MIN($B$6:$E$6)</f>
        <v>17</v>
      </c>
    </row>
    <row r="13" spans="1:16" x14ac:dyDescent="0.25">
      <c r="M13" s="12">
        <v>1.4481020592037397E-2</v>
      </c>
      <c r="N13">
        <f t="array" ref="N13:N16">M13:M16/N6</f>
        <v>0.37352643987874701</v>
      </c>
    </row>
    <row r="14" spans="1:16" x14ac:dyDescent="0.25">
      <c r="M14" s="12">
        <v>8.774793361450978E-3</v>
      </c>
      <c r="N14">
        <v>0.22633883462445273</v>
      </c>
    </row>
    <row r="15" spans="1:16" x14ac:dyDescent="0.25">
      <c r="M15" s="12">
        <v>1.5512581121136543E-2</v>
      </c>
      <c r="N15">
        <v>0.40013472549680018</v>
      </c>
    </row>
    <row r="16" spans="1:16" ht="15.75" thickBot="1" x14ac:dyDescent="0.3">
      <c r="M16" s="13">
        <v>0</v>
      </c>
      <c r="N16">
        <v>0</v>
      </c>
    </row>
    <row r="22" spans="3:8" x14ac:dyDescent="0.25">
      <c r="C22" s="10"/>
      <c r="D22" s="10"/>
      <c r="E22" s="10"/>
      <c r="F22" s="10"/>
      <c r="G22" s="10"/>
      <c r="H22" s="10"/>
    </row>
  </sheetData>
  <mergeCells count="1">
    <mergeCell ref="I1:L1"/>
  </mergeCell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2"/>
  <dimension ref="A1:U9"/>
  <sheetViews>
    <sheetView workbookViewId="0">
      <selection activeCell="P12" sqref="P12"/>
    </sheetView>
  </sheetViews>
  <sheetFormatPr defaultRowHeight="15" x14ac:dyDescent="0.25"/>
  <cols>
    <col min="13" max="13" width="17.5703125" customWidth="1"/>
  </cols>
  <sheetData>
    <row r="1" spans="1:21" ht="15.75" thickBot="1" x14ac:dyDescent="0.3">
      <c r="F1" t="s">
        <v>33</v>
      </c>
      <c r="I1" s="21" t="s">
        <v>77</v>
      </c>
      <c r="J1" s="21"/>
      <c r="K1" s="21"/>
      <c r="L1" s="21"/>
      <c r="N1" t="s">
        <v>78</v>
      </c>
      <c r="P1" s="16"/>
      <c r="Q1" s="16" t="s">
        <v>75</v>
      </c>
      <c r="R1" s="16" t="s">
        <v>76</v>
      </c>
      <c r="S1" s="16"/>
      <c r="T1" s="2"/>
      <c r="U1" s="2"/>
    </row>
    <row r="2" spans="1:21" x14ac:dyDescent="0.25">
      <c r="B2" s="3">
        <v>-13</v>
      </c>
      <c r="C2" s="4">
        <v>17</v>
      </c>
      <c r="D2" s="4">
        <v>17</v>
      </c>
      <c r="E2" s="5">
        <v>17</v>
      </c>
      <c r="F2">
        <f>MIN($B$2:$E$2)</f>
        <v>-13</v>
      </c>
      <c r="I2" s="3">
        <f t="array" ref="I2:L5">$B$2:$E$5+IF(MIN($B$2:$E$5)&lt;0,-MIN($B$2:$E$5),0)</f>
        <v>7</v>
      </c>
      <c r="J2" s="4">
        <v>37</v>
      </c>
      <c r="K2" s="4">
        <v>37</v>
      </c>
      <c r="L2" s="5">
        <v>37</v>
      </c>
      <c r="M2" t="s">
        <v>38</v>
      </c>
      <c r="N2">
        <v>1.2914093206064011E-2</v>
      </c>
      <c r="O2" t="s">
        <v>44</v>
      </c>
      <c r="P2" s="2">
        <f>$N$2/$N$6</f>
        <v>0.33310879083866624</v>
      </c>
      <c r="Q2" s="12">
        <v>1.4481020592037397E-2</v>
      </c>
      <c r="R2" s="2">
        <f t="array" ref="R2:R5">Q2:Q5/N6</f>
        <v>0.37352643987874701</v>
      </c>
      <c r="S2" s="2"/>
      <c r="T2" s="2"/>
      <c r="U2" s="2"/>
    </row>
    <row r="3" spans="1:21" x14ac:dyDescent="0.25">
      <c r="B3" s="1">
        <v>11</v>
      </c>
      <c r="C3" s="2">
        <v>-12</v>
      </c>
      <c r="D3" s="2">
        <v>11</v>
      </c>
      <c r="E3" s="6">
        <v>11</v>
      </c>
      <c r="F3">
        <f>MIN($B$3:$E$3)</f>
        <v>-12</v>
      </c>
      <c r="I3" s="1">
        <v>31</v>
      </c>
      <c r="J3" s="2">
        <v>8</v>
      </c>
      <c r="K3" s="2">
        <v>31</v>
      </c>
      <c r="L3" s="6">
        <v>31</v>
      </c>
      <c r="M3" t="s">
        <v>39</v>
      </c>
      <c r="N3">
        <v>1.684446939921393E-2</v>
      </c>
      <c r="O3" t="s">
        <v>45</v>
      </c>
      <c r="P3" s="2">
        <f>$N$3/$N$6</f>
        <v>0.43448972718086909</v>
      </c>
      <c r="Q3" s="12">
        <v>8.774793361450978E-3</v>
      </c>
      <c r="R3" s="2">
        <v>0.22633883462445273</v>
      </c>
      <c r="S3" s="2"/>
      <c r="T3" s="2"/>
      <c r="U3" s="2"/>
    </row>
    <row r="4" spans="1:21" x14ac:dyDescent="0.25">
      <c r="B4" s="1">
        <v>23</v>
      </c>
      <c r="C4" s="2">
        <v>23</v>
      </c>
      <c r="D4" s="2">
        <v>-20</v>
      </c>
      <c r="E4" s="6">
        <v>23</v>
      </c>
      <c r="F4">
        <f>MIN($B$4:$E$4)</f>
        <v>-20</v>
      </c>
      <c r="I4" s="1">
        <v>43</v>
      </c>
      <c r="J4" s="2">
        <v>43</v>
      </c>
      <c r="K4" s="2">
        <v>0</v>
      </c>
      <c r="L4" s="6">
        <v>43</v>
      </c>
      <c r="M4" t="s">
        <v>40</v>
      </c>
      <c r="N4">
        <v>9.009832469346982E-3</v>
      </c>
      <c r="O4" t="s">
        <v>46</v>
      </c>
      <c r="P4" s="2">
        <f>$N$4/$N$6</f>
        <v>0.23240148198046476</v>
      </c>
      <c r="Q4" s="12">
        <v>1.5512581121136543E-2</v>
      </c>
      <c r="R4" s="2">
        <v>0.40013472549680018</v>
      </c>
      <c r="S4" s="2"/>
      <c r="T4" s="2"/>
      <c r="U4" s="2"/>
    </row>
    <row r="5" spans="1:21" ht="15.75" thickBot="1" x14ac:dyDescent="0.3">
      <c r="B5" s="7">
        <v>5</v>
      </c>
      <c r="C5" s="14">
        <v>5</v>
      </c>
      <c r="D5" s="14">
        <v>5</v>
      </c>
      <c r="E5" s="9">
        <v>-7</v>
      </c>
      <c r="F5">
        <f>MIN($B$5:$E$5)</f>
        <v>-7</v>
      </c>
      <c r="I5" s="7">
        <v>25</v>
      </c>
      <c r="J5" s="14">
        <v>25</v>
      </c>
      <c r="K5" s="14">
        <v>25</v>
      </c>
      <c r="L5" s="9">
        <v>13</v>
      </c>
      <c r="M5" t="s">
        <v>41</v>
      </c>
      <c r="N5">
        <v>0</v>
      </c>
      <c r="O5" t="s">
        <v>47</v>
      </c>
      <c r="P5" s="2">
        <f>$N$5/$N$6</f>
        <v>0</v>
      </c>
      <c r="Q5" s="13">
        <v>0</v>
      </c>
      <c r="R5" s="2">
        <v>0</v>
      </c>
      <c r="S5" s="2"/>
      <c r="T5" s="2"/>
      <c r="U5" s="2"/>
    </row>
    <row r="6" spans="1:21" x14ac:dyDescent="0.25">
      <c r="A6" t="s">
        <v>34</v>
      </c>
      <c r="B6">
        <f>MAX($B$2:$B$5)</f>
        <v>23</v>
      </c>
      <c r="C6">
        <f>MAX($C$2:$C$5)</f>
        <v>23</v>
      </c>
      <c r="D6">
        <f>MAX($D$2:$D$5)</f>
        <v>17</v>
      </c>
      <c r="E6">
        <f>MAX($E$2:$E$5)</f>
        <v>23</v>
      </c>
      <c r="I6">
        <f>SUMPRODUCT($I$2:$I$5,$N$2:$N$5)</f>
        <v>1</v>
      </c>
      <c r="J6">
        <f>SUMPRODUCT($J$2:$J$5,$N$2:$N$5)</f>
        <v>1</v>
      </c>
      <c r="K6">
        <f>SUMPRODUCT($K$2:$K$5,$N$2:$N$5)</f>
        <v>1.0000000000000002</v>
      </c>
      <c r="L6">
        <f>SUMPRODUCT($L$2:$L$5,$N$2:$N$5)</f>
        <v>1.3874227961819203</v>
      </c>
      <c r="M6" t="s">
        <v>79</v>
      </c>
      <c r="N6">
        <f>SUM($N$2:$N$5)</f>
        <v>3.8768395074624921E-2</v>
      </c>
      <c r="P6" s="2"/>
      <c r="Q6" s="2"/>
      <c r="R6" s="2"/>
      <c r="S6" s="2"/>
      <c r="T6" s="2"/>
      <c r="U6" s="2"/>
    </row>
    <row r="7" spans="1:21" x14ac:dyDescent="0.25">
      <c r="I7" t="s">
        <v>43</v>
      </c>
      <c r="J7" t="s">
        <v>43</v>
      </c>
      <c r="K7" t="s">
        <v>43</v>
      </c>
      <c r="L7" t="s">
        <v>43</v>
      </c>
      <c r="M7" t="s">
        <v>80</v>
      </c>
      <c r="N7">
        <f>1/$N$6-IF(MIN($B$2:$E$5)&lt;0,-MIN($B$2:$E$5),0)</f>
        <v>5.7942068036375858</v>
      </c>
    </row>
    <row r="8" spans="1:21" x14ac:dyDescent="0.25">
      <c r="B8" t="s">
        <v>35</v>
      </c>
      <c r="C8">
        <f>MAX($F$2:$F$5)</f>
        <v>-7</v>
      </c>
      <c r="I8">
        <v>1</v>
      </c>
      <c r="J8">
        <v>1</v>
      </c>
      <c r="K8">
        <v>1</v>
      </c>
      <c r="L8">
        <v>1</v>
      </c>
    </row>
    <row r="9" spans="1:21" x14ac:dyDescent="0.25">
      <c r="B9" t="s">
        <v>36</v>
      </c>
      <c r="C9">
        <f>MIN($B$6:$E$6)</f>
        <v>17</v>
      </c>
    </row>
  </sheetData>
  <mergeCells count="1">
    <mergeCell ref="I1:L1"/>
  </mergeCell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6"/>
  <dimension ref="A1:M10"/>
  <sheetViews>
    <sheetView workbookViewId="0">
      <selection activeCell="F8" sqref="F8"/>
    </sheetView>
  </sheetViews>
  <sheetFormatPr defaultRowHeight="15" x14ac:dyDescent="0.25"/>
  <cols>
    <col min="6" max="8" width="15.7109375" customWidth="1"/>
    <col min="10" max="11" width="15.7109375" customWidth="1"/>
    <col min="12" max="12" width="30.7109375" customWidth="1"/>
  </cols>
  <sheetData>
    <row r="1" spans="1:13" ht="15.75" thickBot="1" x14ac:dyDescent="0.3">
      <c r="F1" t="s">
        <v>3</v>
      </c>
      <c r="G1" t="s">
        <v>4</v>
      </c>
      <c r="H1" t="s">
        <v>5</v>
      </c>
      <c r="I1">
        <v>0.7</v>
      </c>
      <c r="J1" t="s">
        <v>6</v>
      </c>
      <c r="K1" t="s">
        <v>7</v>
      </c>
      <c r="L1" t="s">
        <v>8</v>
      </c>
      <c r="M1">
        <v>0.7</v>
      </c>
    </row>
    <row r="2" spans="1:13" x14ac:dyDescent="0.25">
      <c r="B2" s="3">
        <v>30</v>
      </c>
      <c r="C2" s="4">
        <v>10</v>
      </c>
      <c r="D2" s="4">
        <v>20</v>
      </c>
      <c r="E2" s="5">
        <v>25</v>
      </c>
      <c r="F2">
        <f>MIN($B$2:$E$2)</f>
        <v>10</v>
      </c>
      <c r="G2">
        <f>MAX($B$8:$E$8)</f>
        <v>60</v>
      </c>
      <c r="I2">
        <f>$F$2*$I$1+MAX($B$2:$E$2)*(1-$I$1)</f>
        <v>16</v>
      </c>
      <c r="J2">
        <f>SUMPRODUCT($B$2:$E$2,$B$6:$E$6)</f>
        <v>21.75</v>
      </c>
      <c r="K2">
        <f>AVERAGE($B$2:$E$2)</f>
        <v>21.25</v>
      </c>
      <c r="M2">
        <f>$M$1*$J$2+(1-$M$1)*$F$2</f>
        <v>18.225000000000001</v>
      </c>
    </row>
    <row r="3" spans="1:13" x14ac:dyDescent="0.25">
      <c r="B3" s="1">
        <v>50</v>
      </c>
      <c r="C3" s="2">
        <v>70</v>
      </c>
      <c r="D3" s="2">
        <v>10</v>
      </c>
      <c r="E3" s="6">
        <v>25</v>
      </c>
      <c r="F3">
        <f>MIN($B$3:$E$3)</f>
        <v>10</v>
      </c>
      <c r="G3">
        <f>MAX($B$9:$E$9)</f>
        <v>35</v>
      </c>
      <c r="I3">
        <f>$F$3*$I$1+MAX($B$3:$E$3)*(1-$I$1)</f>
        <v>28.000000000000004</v>
      </c>
      <c r="J3">
        <f>SUMPRODUCT($B$3:$E$3,$B$6:$E$6)</f>
        <v>36.25</v>
      </c>
      <c r="K3">
        <f>AVERAGE($B$3:$E$3)</f>
        <v>38.75</v>
      </c>
      <c r="M3">
        <f>$M$1*$J$3+(1-$M$1)*$F$3</f>
        <v>28.375</v>
      </c>
    </row>
    <row r="4" spans="1:13" ht="15.75" thickBot="1" x14ac:dyDescent="0.3">
      <c r="B4" s="7">
        <v>25</v>
      </c>
      <c r="C4" s="8">
        <v>35</v>
      </c>
      <c r="D4" s="8">
        <v>40</v>
      </c>
      <c r="E4" s="9">
        <v>60</v>
      </c>
      <c r="F4">
        <f>MIN($B$4:$E$4)</f>
        <v>25</v>
      </c>
      <c r="G4">
        <f>MAX($B$10:$E$10)</f>
        <v>35</v>
      </c>
      <c r="I4">
        <f>$F$4*$I$1+MAX($B$4:$E$4)*(1-$I$1)</f>
        <v>35.5</v>
      </c>
      <c r="J4">
        <f>SUMPRODUCT($B$4:$E$4,$B$6:$E$6)</f>
        <v>37.5</v>
      </c>
      <c r="K4">
        <f>AVERAGE($B$4:$E$4)</f>
        <v>40</v>
      </c>
      <c r="M4">
        <f>$M$1*$J$4+(1-$M$1)*$F$4</f>
        <v>33.75</v>
      </c>
    </row>
    <row r="5" spans="1:13" x14ac:dyDescent="0.25">
      <c r="A5" t="s">
        <v>2</v>
      </c>
      <c r="B5">
        <f>MAX($B$2:$B$4)</f>
        <v>50</v>
      </c>
      <c r="C5">
        <f>MAX($C$2:$C$4)</f>
        <v>70</v>
      </c>
      <c r="D5">
        <f>MAX($D$2:$D$4)</f>
        <v>40</v>
      </c>
      <c r="E5">
        <f>MAX($E$2:$E$4)</f>
        <v>60</v>
      </c>
    </row>
    <row r="6" spans="1:13" x14ac:dyDescent="0.25">
      <c r="A6" t="s">
        <v>1</v>
      </c>
      <c r="B6">
        <v>0.3</v>
      </c>
      <c r="C6">
        <v>0.2</v>
      </c>
      <c r="D6">
        <v>0.35</v>
      </c>
      <c r="E6">
        <v>0.15</v>
      </c>
    </row>
    <row r="8" spans="1:13" x14ac:dyDescent="0.25">
      <c r="A8" t="s">
        <v>0</v>
      </c>
      <c r="B8">
        <f>$B$5-$B$2</f>
        <v>20</v>
      </c>
      <c r="C8">
        <f>$C$5-$C$2</f>
        <v>60</v>
      </c>
      <c r="D8">
        <f>$D$5-$D$2</f>
        <v>20</v>
      </c>
      <c r="E8">
        <f>$E$5-$E$2</f>
        <v>35</v>
      </c>
    </row>
    <row r="9" spans="1:13" x14ac:dyDescent="0.25">
      <c r="B9">
        <f>$B$5-$B$3</f>
        <v>0</v>
      </c>
      <c r="C9">
        <f>$C$5-$C$3</f>
        <v>0</v>
      </c>
      <c r="D9">
        <f>$D$5-$D$3</f>
        <v>30</v>
      </c>
      <c r="E9">
        <f>$E$5-$E$3</f>
        <v>35</v>
      </c>
    </row>
    <row r="10" spans="1:13" x14ac:dyDescent="0.25">
      <c r="B10">
        <f>$B$5-$B$4</f>
        <v>25</v>
      </c>
      <c r="C10">
        <f>$C$5-$C$4</f>
        <v>35</v>
      </c>
      <c r="D10">
        <f>$D$5-$D$4</f>
        <v>0</v>
      </c>
      <c r="E10">
        <f>$E$5-$E$4</f>
        <v>0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0"/>
  <dimension ref="A1:H20"/>
  <sheetViews>
    <sheetView showGridLines="0" workbookViewId="0">
      <selection activeCell="E20" sqref="E17:E20"/>
    </sheetView>
  </sheetViews>
  <sheetFormatPr defaultRowHeight="15" x14ac:dyDescent="0.25"/>
  <cols>
    <col min="1" max="1" width="2.28515625" customWidth="1"/>
    <col min="2" max="2" width="7.5703125" customWidth="1"/>
    <col min="3" max="3" width="32" bestFit="1" customWidth="1"/>
    <col min="4" max="4" width="15.42578125" bestFit="1" customWidth="1"/>
    <col min="5" max="5" width="12" bestFit="1" customWidth="1"/>
    <col min="6" max="6" width="17.42578125" bestFit="1" customWidth="1"/>
    <col min="7" max="7" width="12.42578125" bestFit="1" customWidth="1"/>
    <col min="8" max="8" width="13.28515625" bestFit="1" customWidth="1"/>
  </cols>
  <sheetData>
    <row r="1" spans="1:8" x14ac:dyDescent="0.25">
      <c r="A1" s="11" t="s">
        <v>48</v>
      </c>
    </row>
    <row r="2" spans="1:8" x14ac:dyDescent="0.25">
      <c r="A2" s="11" t="s">
        <v>81</v>
      </c>
    </row>
    <row r="3" spans="1:8" x14ac:dyDescent="0.25">
      <c r="A3" s="11" t="s">
        <v>82</v>
      </c>
    </row>
    <row r="6" spans="1:8" ht="15.75" thickBot="1" x14ac:dyDescent="0.3">
      <c r="A6" t="s">
        <v>49</v>
      </c>
    </row>
    <row r="7" spans="1:8" x14ac:dyDescent="0.25">
      <c r="B7" s="18"/>
      <c r="C7" s="18"/>
      <c r="D7" s="18" t="s">
        <v>52</v>
      </c>
      <c r="E7" s="18" t="s">
        <v>54</v>
      </c>
      <c r="F7" s="18" t="s">
        <v>56</v>
      </c>
      <c r="G7" s="18" t="s">
        <v>58</v>
      </c>
      <c r="H7" s="18" t="s">
        <v>58</v>
      </c>
    </row>
    <row r="8" spans="1:8" ht="15.75" thickBot="1" x14ac:dyDescent="0.3">
      <c r="B8" s="19" t="s">
        <v>50</v>
      </c>
      <c r="C8" s="19" t="s">
        <v>51</v>
      </c>
      <c r="D8" s="19" t="s">
        <v>53</v>
      </c>
      <c r="E8" s="19" t="s">
        <v>55</v>
      </c>
      <c r="F8" s="19" t="s">
        <v>57</v>
      </c>
      <c r="G8" s="19" t="s">
        <v>59</v>
      </c>
      <c r="H8" s="19" t="s">
        <v>60</v>
      </c>
    </row>
    <row r="9" spans="1:8" x14ac:dyDescent="0.25">
      <c r="B9" s="12" t="s">
        <v>66</v>
      </c>
      <c r="C9" s="12" t="s">
        <v>83</v>
      </c>
      <c r="D9" s="12">
        <v>0.11111111111111109</v>
      </c>
      <c r="E9" s="12">
        <v>0</v>
      </c>
      <c r="F9" s="12">
        <v>1</v>
      </c>
      <c r="G9" s="12">
        <v>0</v>
      </c>
      <c r="H9" s="12">
        <v>0.19999999999999987</v>
      </c>
    </row>
    <row r="10" spans="1:8" x14ac:dyDescent="0.25">
      <c r="B10" s="12" t="s">
        <v>67</v>
      </c>
      <c r="C10" s="12" t="s">
        <v>84</v>
      </c>
      <c r="D10" s="12">
        <v>0.11111111111111113</v>
      </c>
      <c r="E10" s="12">
        <v>0</v>
      </c>
      <c r="F10" s="12">
        <v>1</v>
      </c>
      <c r="G10" s="12">
        <v>0.24999999999999983</v>
      </c>
      <c r="H10" s="12">
        <v>0.50000000000000011</v>
      </c>
    </row>
    <row r="11" spans="1:8" x14ac:dyDescent="0.25">
      <c r="B11" s="12" t="s">
        <v>68</v>
      </c>
      <c r="C11" s="12" t="s">
        <v>85</v>
      </c>
      <c r="D11" s="12">
        <v>0</v>
      </c>
      <c r="E11" s="12">
        <v>0</v>
      </c>
      <c r="F11" s="12">
        <v>1</v>
      </c>
      <c r="G11" s="12">
        <v>1E+30</v>
      </c>
      <c r="H11" s="12">
        <v>0</v>
      </c>
    </row>
    <row r="12" spans="1:8" ht="15.75" thickBot="1" x14ac:dyDescent="0.3">
      <c r="B12" s="13" t="s">
        <v>69</v>
      </c>
      <c r="C12" s="13" t="s">
        <v>86</v>
      </c>
      <c r="D12" s="13">
        <v>0</v>
      </c>
      <c r="E12" s="13">
        <v>0.38888888888888895</v>
      </c>
      <c r="F12" s="13">
        <v>1</v>
      </c>
      <c r="G12" s="13">
        <v>1E+30</v>
      </c>
      <c r="H12" s="13">
        <v>0.38888888888888895</v>
      </c>
    </row>
    <row r="14" spans="1:8" ht="15.75" thickBot="1" x14ac:dyDescent="0.3">
      <c r="A14" t="s">
        <v>61</v>
      </c>
    </row>
    <row r="15" spans="1:8" x14ac:dyDescent="0.25">
      <c r="B15" s="18"/>
      <c r="C15" s="18"/>
      <c r="D15" s="18" t="s">
        <v>52</v>
      </c>
      <c r="E15" s="18" t="s">
        <v>62</v>
      </c>
      <c r="F15" s="18" t="s">
        <v>64</v>
      </c>
      <c r="G15" s="18" t="s">
        <v>58</v>
      </c>
      <c r="H15" s="18" t="s">
        <v>58</v>
      </c>
    </row>
    <row r="16" spans="1:8" ht="15.75" thickBot="1" x14ac:dyDescent="0.3">
      <c r="B16" s="19" t="s">
        <v>50</v>
      </c>
      <c r="C16" s="19" t="s">
        <v>51</v>
      </c>
      <c r="D16" s="19" t="s">
        <v>53</v>
      </c>
      <c r="E16" s="19" t="s">
        <v>63</v>
      </c>
      <c r="F16" s="19" t="s">
        <v>65</v>
      </c>
      <c r="G16" s="19" t="s">
        <v>59</v>
      </c>
      <c r="H16" s="19" t="s">
        <v>60</v>
      </c>
    </row>
    <row r="17" spans="2:8" x14ac:dyDescent="0.25">
      <c r="B17" s="12" t="s">
        <v>70</v>
      </c>
      <c r="C17" s="12" t="s">
        <v>87</v>
      </c>
      <c r="D17" s="12">
        <v>0.99999999999999989</v>
      </c>
      <c r="E17" s="12">
        <v>5.5555555555555532E-2</v>
      </c>
      <c r="F17" s="12">
        <v>1</v>
      </c>
      <c r="G17" s="12">
        <v>6.4516129032258132E-2</v>
      </c>
      <c r="H17" s="12">
        <v>0.39999999999999986</v>
      </c>
    </row>
    <row r="18" spans="2:8" x14ac:dyDescent="0.25">
      <c r="B18" s="12" t="s">
        <v>71</v>
      </c>
      <c r="C18" s="12" t="s">
        <v>34</v>
      </c>
      <c r="D18" s="12">
        <v>1</v>
      </c>
      <c r="E18" s="12">
        <v>0.16666666666666671</v>
      </c>
      <c r="F18" s="12">
        <v>1</v>
      </c>
      <c r="G18" s="12">
        <v>0.6666666666666663</v>
      </c>
      <c r="H18" s="12">
        <v>3.9215686274509852E-2</v>
      </c>
    </row>
    <row r="19" spans="2:8" x14ac:dyDescent="0.25">
      <c r="B19" s="12" t="s">
        <v>72</v>
      </c>
      <c r="C19" s="12" t="s">
        <v>34</v>
      </c>
      <c r="D19" s="12">
        <v>1.1111111111111114</v>
      </c>
      <c r="E19" s="12">
        <v>0</v>
      </c>
      <c r="F19" s="12">
        <v>1</v>
      </c>
      <c r="G19" s="12">
        <v>0.11111111111111124</v>
      </c>
      <c r="H19" s="12">
        <v>1E+30</v>
      </c>
    </row>
    <row r="20" spans="2:8" ht="15.75" thickBot="1" x14ac:dyDescent="0.3">
      <c r="B20" s="13" t="s">
        <v>73</v>
      </c>
      <c r="C20" s="13" t="s">
        <v>34</v>
      </c>
      <c r="D20" s="13">
        <v>1.1111111111111112</v>
      </c>
      <c r="E20" s="13">
        <v>0</v>
      </c>
      <c r="F20" s="13">
        <v>1</v>
      </c>
      <c r="G20" s="13">
        <v>0.11111111111111124</v>
      </c>
      <c r="H20" s="13">
        <v>1E+30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1"/>
  <dimension ref="A1:H19"/>
  <sheetViews>
    <sheetView showGridLines="0" workbookViewId="0">
      <selection activeCell="E16" sqref="E16:E19"/>
    </sheetView>
  </sheetViews>
  <sheetFormatPr defaultRowHeight="15" x14ac:dyDescent="0.25"/>
  <cols>
    <col min="1" max="1" width="2.28515625" customWidth="1"/>
    <col min="2" max="2" width="7.5703125" customWidth="1"/>
    <col min="3" max="3" width="32" bestFit="1" customWidth="1"/>
    <col min="4" max="4" width="15.42578125" bestFit="1" customWidth="1"/>
    <col min="5" max="5" width="12" bestFit="1" customWidth="1"/>
    <col min="6" max="6" width="17.42578125" bestFit="1" customWidth="1"/>
    <col min="7" max="7" width="12.42578125" bestFit="1" customWidth="1"/>
    <col min="8" max="8" width="13.28515625" bestFit="1" customWidth="1"/>
  </cols>
  <sheetData>
    <row r="1" spans="1:8" x14ac:dyDescent="0.25">
      <c r="A1" s="11" t="s">
        <v>48</v>
      </c>
    </row>
    <row r="2" spans="1:8" x14ac:dyDescent="0.25">
      <c r="A2" s="11" t="s">
        <v>81</v>
      </c>
    </row>
    <row r="3" spans="1:8" x14ac:dyDescent="0.25">
      <c r="A3" s="11" t="s">
        <v>88</v>
      </c>
    </row>
    <row r="6" spans="1:8" ht="15.75" thickBot="1" x14ac:dyDescent="0.3">
      <c r="A6" t="s">
        <v>49</v>
      </c>
    </row>
    <row r="7" spans="1:8" x14ac:dyDescent="0.25">
      <c r="B7" s="18"/>
      <c r="C7" s="18"/>
      <c r="D7" s="18" t="s">
        <v>52</v>
      </c>
      <c r="E7" s="18" t="s">
        <v>54</v>
      </c>
      <c r="F7" s="18" t="s">
        <v>56</v>
      </c>
      <c r="G7" s="18" t="s">
        <v>58</v>
      </c>
      <c r="H7" s="18" t="s">
        <v>58</v>
      </c>
    </row>
    <row r="8" spans="1:8" ht="15.75" thickBot="1" x14ac:dyDescent="0.3">
      <c r="B8" s="19" t="s">
        <v>50</v>
      </c>
      <c r="C8" s="19" t="s">
        <v>51</v>
      </c>
      <c r="D8" s="19" t="s">
        <v>53</v>
      </c>
      <c r="E8" s="19" t="s">
        <v>55</v>
      </c>
      <c r="F8" s="19" t="s">
        <v>57</v>
      </c>
      <c r="G8" s="19" t="s">
        <v>59</v>
      </c>
      <c r="H8" s="19" t="s">
        <v>60</v>
      </c>
    </row>
    <row r="9" spans="1:8" x14ac:dyDescent="0.25">
      <c r="B9" s="12" t="s">
        <v>89</v>
      </c>
      <c r="C9" s="12" t="s">
        <v>83</v>
      </c>
      <c r="D9" s="12">
        <v>7.6923076923076927E-2</v>
      </c>
      <c r="E9" s="12">
        <v>0</v>
      </c>
      <c r="F9" s="12">
        <v>1</v>
      </c>
      <c r="G9" s="12">
        <v>2</v>
      </c>
      <c r="H9" s="12">
        <v>0.16666666666666644</v>
      </c>
    </row>
    <row r="10" spans="1:8" x14ac:dyDescent="0.25">
      <c r="B10" s="12" t="s">
        <v>90</v>
      </c>
      <c r="C10" s="12" t="s">
        <v>84</v>
      </c>
      <c r="D10" s="12">
        <v>0</v>
      </c>
      <c r="E10" s="12">
        <v>0.20512820512820501</v>
      </c>
      <c r="F10" s="12">
        <v>1</v>
      </c>
      <c r="G10" s="12">
        <v>1E+30</v>
      </c>
      <c r="H10" s="12">
        <v>0.20512820512820501</v>
      </c>
    </row>
    <row r="11" spans="1:8" ht="15.75" thickBot="1" x14ac:dyDescent="0.3">
      <c r="B11" s="13" t="s">
        <v>91</v>
      </c>
      <c r="C11" s="13" t="s">
        <v>85</v>
      </c>
      <c r="D11" s="13">
        <v>0.10256410256410253</v>
      </c>
      <c r="E11" s="13">
        <v>0</v>
      </c>
      <c r="F11" s="13">
        <v>1</v>
      </c>
      <c r="G11" s="13">
        <v>0.19999999999999965</v>
      </c>
      <c r="H11" s="13">
        <v>0.66666666666666663</v>
      </c>
    </row>
    <row r="13" spans="1:8" ht="15.75" thickBot="1" x14ac:dyDescent="0.3">
      <c r="A13" t="s">
        <v>61</v>
      </c>
    </row>
    <row r="14" spans="1:8" x14ac:dyDescent="0.25">
      <c r="B14" s="18"/>
      <c r="C14" s="18"/>
      <c r="D14" s="18" t="s">
        <v>52</v>
      </c>
      <c r="E14" s="18" t="s">
        <v>62</v>
      </c>
      <c r="F14" s="18" t="s">
        <v>64</v>
      </c>
      <c r="G14" s="18" t="s">
        <v>58</v>
      </c>
      <c r="H14" s="18" t="s">
        <v>58</v>
      </c>
    </row>
    <row r="15" spans="1:8" ht="15.75" thickBot="1" x14ac:dyDescent="0.3">
      <c r="B15" s="19" t="s">
        <v>50</v>
      </c>
      <c r="C15" s="19" t="s">
        <v>51</v>
      </c>
      <c r="D15" s="19" t="s">
        <v>53</v>
      </c>
      <c r="E15" s="19" t="s">
        <v>63</v>
      </c>
      <c r="F15" s="19" t="s">
        <v>65</v>
      </c>
      <c r="G15" s="19" t="s">
        <v>59</v>
      </c>
      <c r="H15" s="19" t="s">
        <v>60</v>
      </c>
    </row>
    <row r="16" spans="1:8" x14ac:dyDescent="0.25">
      <c r="B16" s="12" t="s">
        <v>92</v>
      </c>
      <c r="C16" s="12" t="s">
        <v>87</v>
      </c>
      <c r="D16" s="12">
        <v>1.128205128205128</v>
      </c>
      <c r="E16" s="12">
        <v>0</v>
      </c>
      <c r="F16" s="12">
        <v>1</v>
      </c>
      <c r="G16" s="12">
        <v>0.12820512820512797</v>
      </c>
      <c r="H16" s="12">
        <v>1E+30</v>
      </c>
    </row>
    <row r="17" spans="2:8" x14ac:dyDescent="0.25">
      <c r="B17" s="12" t="s">
        <v>93</v>
      </c>
      <c r="C17" s="12" t="s">
        <v>94</v>
      </c>
      <c r="D17" s="12">
        <v>1.0512820512820511</v>
      </c>
      <c r="E17" s="12">
        <v>0</v>
      </c>
      <c r="F17" s="12">
        <v>1</v>
      </c>
      <c r="G17" s="12">
        <v>5.1282051282051211E-2</v>
      </c>
      <c r="H17" s="12">
        <v>1E+30</v>
      </c>
    </row>
    <row r="18" spans="2:8" x14ac:dyDescent="0.25">
      <c r="B18" s="12" t="s">
        <v>95</v>
      </c>
      <c r="C18" s="12" t="s">
        <v>94</v>
      </c>
      <c r="D18" s="12">
        <v>0.99999999999999989</v>
      </c>
      <c r="E18" s="12">
        <v>2.5641025641025605E-2</v>
      </c>
      <c r="F18" s="12">
        <v>1</v>
      </c>
      <c r="G18" s="12">
        <v>0.31249999999999917</v>
      </c>
      <c r="H18" s="12">
        <v>0.11764705882352924</v>
      </c>
    </row>
    <row r="19" spans="2:8" ht="15.75" thickBot="1" x14ac:dyDescent="0.3">
      <c r="B19" s="13" t="s">
        <v>96</v>
      </c>
      <c r="C19" s="13" t="s">
        <v>94</v>
      </c>
      <c r="D19" s="13">
        <v>0.99999999999999978</v>
      </c>
      <c r="E19" s="13">
        <v>0.15384615384615385</v>
      </c>
      <c r="F19" s="13">
        <v>1</v>
      </c>
      <c r="G19" s="13">
        <v>1</v>
      </c>
      <c r="H19" s="13">
        <v>8.3333333333333176E-2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8"/>
  <dimension ref="A1:R21"/>
  <sheetViews>
    <sheetView workbookViewId="0">
      <selection activeCell="K27" sqref="K27"/>
    </sheetView>
  </sheetViews>
  <sheetFormatPr defaultRowHeight="15" x14ac:dyDescent="0.25"/>
  <sheetData>
    <row r="1" spans="1:18" ht="15.75" thickBot="1" x14ac:dyDescent="0.3">
      <c r="F1" t="s">
        <v>33</v>
      </c>
      <c r="I1" s="21" t="s">
        <v>77</v>
      </c>
      <c r="J1" s="21"/>
      <c r="K1" s="21"/>
      <c r="L1" s="21"/>
      <c r="N1" t="s">
        <v>78</v>
      </c>
    </row>
    <row r="2" spans="1:18" x14ac:dyDescent="0.25">
      <c r="B2" s="3">
        <v>6</v>
      </c>
      <c r="C2" s="4">
        <v>4</v>
      </c>
      <c r="D2" s="4">
        <v>1</v>
      </c>
      <c r="E2" s="5">
        <v>3</v>
      </c>
      <c r="F2">
        <f>MIN($B$2:$E$2)</f>
        <v>1</v>
      </c>
      <c r="I2" s="3">
        <f t="array" ref="I2:L5">$B$2:$E$5+IF(MIN($B$2:$E$5)&lt;0,-MIN($B$2:$E$5),0)</f>
        <v>6</v>
      </c>
      <c r="J2" s="4">
        <v>4</v>
      </c>
      <c r="K2" s="4">
        <v>1</v>
      </c>
      <c r="L2" s="5">
        <v>3</v>
      </c>
      <c r="M2" t="s">
        <v>38</v>
      </c>
      <c r="N2">
        <v>0.11111111111111109</v>
      </c>
      <c r="O2" t="s">
        <v>44</v>
      </c>
      <c r="P2">
        <f>$N$2/$N$6</f>
        <v>0.49999999999999994</v>
      </c>
      <c r="Q2" s="12">
        <v>5.5555555555555532E-2</v>
      </c>
      <c r="R2">
        <f t="array" ref="R2:R5">Q2:Q5/N6</f>
        <v>0.24999999999999992</v>
      </c>
    </row>
    <row r="3" spans="1:18" x14ac:dyDescent="0.25">
      <c r="B3" s="1">
        <v>3</v>
      </c>
      <c r="C3" s="2">
        <v>5</v>
      </c>
      <c r="D3" s="2">
        <v>9</v>
      </c>
      <c r="E3" s="6">
        <v>7</v>
      </c>
      <c r="F3">
        <f>MIN($B$3:$E$3)</f>
        <v>3</v>
      </c>
      <c r="I3" s="1">
        <v>3</v>
      </c>
      <c r="J3" s="2">
        <v>5</v>
      </c>
      <c r="K3" s="2">
        <v>9</v>
      </c>
      <c r="L3" s="6">
        <v>7</v>
      </c>
      <c r="M3" t="s">
        <v>39</v>
      </c>
      <c r="N3">
        <v>0.11111111111111113</v>
      </c>
      <c r="O3" t="s">
        <v>45</v>
      </c>
      <c r="P3">
        <f>$N$3/$N$6</f>
        <v>0.50000000000000011</v>
      </c>
      <c r="Q3" s="12">
        <v>0.16666666666666671</v>
      </c>
      <c r="R3">
        <v>0.75000000000000022</v>
      </c>
    </row>
    <row r="4" spans="1:18" x14ac:dyDescent="0.25">
      <c r="B4" s="1">
        <v>6</v>
      </c>
      <c r="C4" s="2">
        <v>4</v>
      </c>
      <c r="D4" s="2">
        <v>1</v>
      </c>
      <c r="E4" s="6">
        <v>3</v>
      </c>
      <c r="F4">
        <f>MIN($B$4:$E$4)</f>
        <v>1</v>
      </c>
      <c r="I4" s="1">
        <v>6</v>
      </c>
      <c r="J4" s="2">
        <v>4</v>
      </c>
      <c r="K4" s="2">
        <v>1</v>
      </c>
      <c r="L4" s="6">
        <v>3</v>
      </c>
      <c r="M4" t="s">
        <v>40</v>
      </c>
      <c r="N4">
        <v>0</v>
      </c>
      <c r="O4" t="s">
        <v>46</v>
      </c>
      <c r="P4">
        <f>$N$4/$N$6</f>
        <v>0</v>
      </c>
      <c r="Q4" s="12">
        <v>0</v>
      </c>
      <c r="R4">
        <v>0</v>
      </c>
    </row>
    <row r="5" spans="1:18" ht="15.75" thickBot="1" x14ac:dyDescent="0.3">
      <c r="B5" s="7">
        <v>2</v>
      </c>
      <c r="C5" s="14">
        <v>3</v>
      </c>
      <c r="D5" s="14">
        <v>7</v>
      </c>
      <c r="E5" s="9">
        <v>1</v>
      </c>
      <c r="F5">
        <f>MIN($B$5:$E$5)</f>
        <v>1</v>
      </c>
      <c r="I5" s="7">
        <v>2</v>
      </c>
      <c r="J5" s="14">
        <v>3</v>
      </c>
      <c r="K5" s="14">
        <v>7</v>
      </c>
      <c r="L5" s="9">
        <v>1</v>
      </c>
      <c r="M5" t="s">
        <v>41</v>
      </c>
      <c r="N5">
        <v>0</v>
      </c>
      <c r="O5" t="s">
        <v>47</v>
      </c>
      <c r="P5">
        <f>$N$5/$N$6</f>
        <v>0</v>
      </c>
      <c r="Q5" s="13">
        <v>0</v>
      </c>
      <c r="R5">
        <v>0</v>
      </c>
    </row>
    <row r="6" spans="1:18" x14ac:dyDescent="0.25">
      <c r="A6" t="s">
        <v>34</v>
      </c>
      <c r="B6">
        <f>MAX($B$2:$B$5)</f>
        <v>6</v>
      </c>
      <c r="C6">
        <f>MAX($C$2:$C$5)</f>
        <v>5</v>
      </c>
      <c r="D6">
        <f>MAX($D$2:$D$5)</f>
        <v>9</v>
      </c>
      <c r="E6">
        <f>MAX($E$2:$E$5)</f>
        <v>7</v>
      </c>
      <c r="I6">
        <f>SUMPRODUCT($I$2:$I$5,$N$2:$N$5)</f>
        <v>0.99999999999999989</v>
      </c>
      <c r="J6">
        <f>SUMPRODUCT($J$2:$J$5,$N$2:$N$5)</f>
        <v>1</v>
      </c>
      <c r="K6">
        <f>SUMPRODUCT($K$2:$K$5,$N$2:$N$5)</f>
        <v>1.1111111111111114</v>
      </c>
      <c r="L6">
        <f>SUMPRODUCT($L$2:$L$5,$N$2:$N$5)</f>
        <v>1.1111111111111112</v>
      </c>
      <c r="M6" t="s">
        <v>79</v>
      </c>
      <c r="N6">
        <f>SUM($N$2:$N$5)</f>
        <v>0.22222222222222221</v>
      </c>
    </row>
    <row r="7" spans="1:18" x14ac:dyDescent="0.25">
      <c r="I7" t="s">
        <v>43</v>
      </c>
      <c r="J7" t="s">
        <v>43</v>
      </c>
      <c r="K7" t="s">
        <v>43</v>
      </c>
      <c r="L7" t="s">
        <v>43</v>
      </c>
      <c r="M7" t="s">
        <v>80</v>
      </c>
      <c r="N7">
        <f>1/$N$6-IF(MIN($B$2:$E$5)&lt;0,-MIN($B$2:$E$5),0)</f>
        <v>4.5</v>
      </c>
    </row>
    <row r="8" spans="1:18" x14ac:dyDescent="0.25">
      <c r="B8" t="s">
        <v>35</v>
      </c>
      <c r="C8">
        <f>MAX($F$2:$F$5)</f>
        <v>3</v>
      </c>
      <c r="I8">
        <v>1</v>
      </c>
      <c r="J8">
        <v>1</v>
      </c>
      <c r="K8">
        <v>1</v>
      </c>
      <c r="L8">
        <v>1</v>
      </c>
    </row>
    <row r="9" spans="1:18" x14ac:dyDescent="0.25">
      <c r="B9" t="s">
        <v>36</v>
      </c>
      <c r="C9">
        <f>MIN($B$6:$E$6)</f>
        <v>5</v>
      </c>
    </row>
    <row r="14" spans="1:18" ht="15.75" thickBot="1" x14ac:dyDescent="0.3">
      <c r="F14" t="s">
        <v>33</v>
      </c>
      <c r="I14" s="21" t="s">
        <v>77</v>
      </c>
      <c r="J14" s="21"/>
      <c r="K14" s="21"/>
      <c r="L14" s="21"/>
      <c r="N14" t="s">
        <v>78</v>
      </c>
    </row>
    <row r="15" spans="1:18" x14ac:dyDescent="0.25">
      <c r="B15" s="3">
        <v>4</v>
      </c>
      <c r="C15" s="4">
        <v>7</v>
      </c>
      <c r="D15" s="4">
        <v>9</v>
      </c>
      <c r="E15" s="5">
        <v>5</v>
      </c>
      <c r="F15">
        <f>MIN($B$15:$E$15)</f>
        <v>4</v>
      </c>
      <c r="I15" s="3">
        <f t="array" ref="I15:L17">$B$15:$E$17+IF(MIN($B$15:$E$17)&lt;0,-MIN($B$15:$E$17),0)</f>
        <v>4</v>
      </c>
      <c r="J15" s="4">
        <v>7</v>
      </c>
      <c r="K15" s="4">
        <v>9</v>
      </c>
      <c r="L15" s="5">
        <v>5</v>
      </c>
      <c r="M15" t="s">
        <v>38</v>
      </c>
      <c r="N15">
        <v>7.6923076923076927E-2</v>
      </c>
      <c r="O15" t="s">
        <v>44</v>
      </c>
      <c r="P15">
        <f>$N$15/$N$18</f>
        <v>0.42857142857142866</v>
      </c>
      <c r="Q15" s="12">
        <v>0</v>
      </c>
      <c r="R15">
        <f t="array" ref="R15:R18">Q15:Q18/N18</f>
        <v>0</v>
      </c>
    </row>
    <row r="16" spans="1:18" x14ac:dyDescent="0.25">
      <c r="B16" s="1">
        <v>8</v>
      </c>
      <c r="C16" s="2">
        <v>4</v>
      </c>
      <c r="D16" s="2">
        <v>1</v>
      </c>
      <c r="E16" s="6">
        <v>5</v>
      </c>
      <c r="F16">
        <f>MIN($B$16:$E$16)</f>
        <v>1</v>
      </c>
      <c r="I16" s="1">
        <v>8</v>
      </c>
      <c r="J16" s="2">
        <v>4</v>
      </c>
      <c r="K16" s="2">
        <v>1</v>
      </c>
      <c r="L16" s="6">
        <v>5</v>
      </c>
      <c r="M16" t="s">
        <v>39</v>
      </c>
      <c r="N16">
        <v>0</v>
      </c>
      <c r="O16" t="s">
        <v>45</v>
      </c>
      <c r="P16">
        <f>$N$16/$N$18</f>
        <v>0</v>
      </c>
      <c r="Q16" s="12">
        <v>0</v>
      </c>
      <c r="R16">
        <v>0</v>
      </c>
    </row>
    <row r="17" spans="1:18" ht="15.75" thickBot="1" x14ac:dyDescent="0.3">
      <c r="B17" s="7">
        <v>8</v>
      </c>
      <c r="C17" s="14">
        <v>5</v>
      </c>
      <c r="D17" s="14">
        <v>3</v>
      </c>
      <c r="E17" s="9">
        <v>6</v>
      </c>
      <c r="F17">
        <f>MIN($B$17:$E$17)</f>
        <v>3</v>
      </c>
      <c r="I17" s="7">
        <v>8</v>
      </c>
      <c r="J17" s="14">
        <v>5</v>
      </c>
      <c r="K17" s="14">
        <v>3</v>
      </c>
      <c r="L17" s="9">
        <v>6</v>
      </c>
      <c r="M17" t="s">
        <v>40</v>
      </c>
      <c r="N17">
        <v>0.10256410256410253</v>
      </c>
      <c r="O17" t="s">
        <v>46</v>
      </c>
      <c r="P17">
        <f>$N$17/$N$18</f>
        <v>0.57142857142857129</v>
      </c>
      <c r="Q17" s="12">
        <v>2.5641025641025605E-2</v>
      </c>
      <c r="R17">
        <v>0.14285714285714268</v>
      </c>
    </row>
    <row r="18" spans="1:18" ht="15.75" thickBot="1" x14ac:dyDescent="0.3">
      <c r="A18" t="s">
        <v>34</v>
      </c>
      <c r="B18">
        <f>MAX($B$15:$B$17)</f>
        <v>8</v>
      </c>
      <c r="C18">
        <f>MAX($C$15:$C$17)</f>
        <v>7</v>
      </c>
      <c r="D18">
        <f>MAX($D$15:$D$17)</f>
        <v>9</v>
      </c>
      <c r="E18">
        <f>MAX($E$15:$E$17)</f>
        <v>6</v>
      </c>
      <c r="I18">
        <f>SUMPRODUCT($I$15:$I$17,$N$15:$N$17)</f>
        <v>1.128205128205128</v>
      </c>
      <c r="J18">
        <f>SUMPRODUCT($J$15:$J$17,$N$15:$N$17)</f>
        <v>1.0512820512820511</v>
      </c>
      <c r="K18">
        <f>SUMPRODUCT($K$15:$K$17,$N$15:$N$17)</f>
        <v>0.99999999999999989</v>
      </c>
      <c r="L18">
        <f>SUMPRODUCT($L$15:$L$17,$N$15:$N$17)</f>
        <v>0.99999999999999978</v>
      </c>
      <c r="M18" t="s">
        <v>79</v>
      </c>
      <c r="N18">
        <f>SUM($N$15:$N$17)</f>
        <v>0.17948717948717946</v>
      </c>
      <c r="Q18" s="13">
        <v>0.15384615384615385</v>
      </c>
      <c r="R18">
        <v>0.85714285714285732</v>
      </c>
    </row>
    <row r="19" spans="1:18" x14ac:dyDescent="0.25">
      <c r="I19" t="s">
        <v>43</v>
      </c>
      <c r="J19" t="s">
        <v>43</v>
      </c>
      <c r="K19" t="s">
        <v>43</v>
      </c>
      <c r="L19" t="s">
        <v>43</v>
      </c>
      <c r="M19" t="s">
        <v>80</v>
      </c>
      <c r="N19">
        <f>1/$N$18-IF(MIN($B$15:$E$17)&lt;0,-MIN($B$15:$E$17),0)</f>
        <v>5.5714285714285721</v>
      </c>
    </row>
    <row r="20" spans="1:18" x14ac:dyDescent="0.25">
      <c r="B20" t="s">
        <v>35</v>
      </c>
      <c r="C20">
        <f>MAX($F$15:$F$17)</f>
        <v>4</v>
      </c>
      <c r="I20">
        <v>1</v>
      </c>
      <c r="J20">
        <v>1</v>
      </c>
      <c r="K20">
        <v>1</v>
      </c>
      <c r="L20">
        <v>1</v>
      </c>
    </row>
    <row r="21" spans="1:18" x14ac:dyDescent="0.25">
      <c r="B21" t="s">
        <v>36</v>
      </c>
      <c r="C21">
        <f>MIN($B$18:$E$18)</f>
        <v>6</v>
      </c>
    </row>
  </sheetData>
  <mergeCells count="2">
    <mergeCell ref="I1:L1"/>
    <mergeCell ref="I14:L14"/>
  </mergeCells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4"/>
  <dimension ref="C2:K11"/>
  <sheetViews>
    <sheetView tabSelected="1" workbookViewId="0">
      <selection activeCell="C5" sqref="C3:E5"/>
    </sheetView>
  </sheetViews>
  <sheetFormatPr defaultRowHeight="15" x14ac:dyDescent="0.25"/>
  <sheetData>
    <row r="2" spans="3:11" ht="15.75" thickBot="1" x14ac:dyDescent="0.3">
      <c r="F2" t="s">
        <v>97</v>
      </c>
      <c r="G2" t="s">
        <v>98</v>
      </c>
    </row>
    <row r="3" spans="3:11" x14ac:dyDescent="0.25">
      <c r="C3" s="3">
        <v>1</v>
      </c>
      <c r="D3" s="4">
        <v>3</v>
      </c>
      <c r="E3" s="5">
        <v>6</v>
      </c>
      <c r="F3" s="24">
        <f>PRODUCT($C$3:$E$3)^(1/ 3)</f>
        <v>2.6207413942088964</v>
      </c>
      <c r="G3" s="24"/>
    </row>
    <row r="4" spans="3:11" x14ac:dyDescent="0.25">
      <c r="C4" s="1">
        <f>1/3</f>
        <v>0.33333333333333331</v>
      </c>
      <c r="D4" s="17">
        <v>1</v>
      </c>
      <c r="E4" s="6">
        <v>3</v>
      </c>
      <c r="F4" s="25">
        <f>PRODUCT($C$4:$E$4)^(1/ 3)</f>
        <v>1</v>
      </c>
      <c r="G4" s="25"/>
    </row>
    <row r="5" spans="3:11" ht="15.75" thickBot="1" x14ac:dyDescent="0.3">
      <c r="C5" s="23">
        <f>1/6</f>
        <v>0.16666666666666666</v>
      </c>
      <c r="D5" s="15">
        <f>1/3</f>
        <v>0.33333333333333331</v>
      </c>
      <c r="E5" s="9">
        <v>1</v>
      </c>
      <c r="F5" s="26">
        <f>PRODUCT($C$5:$E$5)^(1/ 3)</f>
        <v>0.38157141418444396</v>
      </c>
      <c r="G5" s="26"/>
      <c r="H5" s="17"/>
      <c r="I5" s="17"/>
      <c r="J5" s="17"/>
      <c r="K5" s="17"/>
    </row>
    <row r="6" spans="3:11" x14ac:dyDescent="0.25">
      <c r="C6" s="17"/>
      <c r="D6" s="17"/>
      <c r="E6" s="17"/>
      <c r="H6" s="17"/>
      <c r="I6" s="17"/>
      <c r="J6" s="17"/>
      <c r="K6" s="17"/>
    </row>
    <row r="7" spans="3:11" x14ac:dyDescent="0.25">
      <c r="C7" s="17"/>
      <c r="D7" s="17"/>
      <c r="E7" s="17"/>
      <c r="H7" s="17"/>
      <c r="I7" s="17"/>
      <c r="J7" s="17"/>
      <c r="K7" s="17"/>
    </row>
    <row r="8" spans="3:11" x14ac:dyDescent="0.25">
      <c r="C8" s="17"/>
      <c r="D8" s="17"/>
      <c r="E8" s="17"/>
      <c r="H8" s="17"/>
      <c r="I8" s="17"/>
      <c r="J8" s="17"/>
      <c r="K8" s="17"/>
    </row>
    <row r="9" spans="3:11" x14ac:dyDescent="0.25">
      <c r="C9" s="17"/>
      <c r="D9" s="17"/>
      <c r="E9" s="17"/>
      <c r="H9" s="17"/>
      <c r="I9" s="17"/>
      <c r="J9" s="17"/>
      <c r="K9" s="17"/>
    </row>
    <row r="10" spans="3:11" x14ac:dyDescent="0.25">
      <c r="C10" s="17"/>
      <c r="D10" s="17"/>
      <c r="E10" s="17"/>
      <c r="H10" s="17"/>
      <c r="I10" s="17"/>
      <c r="J10" s="17"/>
      <c r="K10" s="17"/>
    </row>
    <row r="11" spans="3:11" x14ac:dyDescent="0.25">
      <c r="C11" s="17"/>
      <c r="D11" s="17"/>
      <c r="E11" s="17"/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"/>
  <dimension ref="B1:I10"/>
  <sheetViews>
    <sheetView workbookViewId="0">
      <selection activeCell="J7" sqref="J7"/>
    </sheetView>
  </sheetViews>
  <sheetFormatPr defaultRowHeight="15" x14ac:dyDescent="0.25"/>
  <sheetData>
    <row r="1" spans="2:9" x14ac:dyDescent="0.25">
      <c r="B1" s="2"/>
      <c r="C1" s="2"/>
      <c r="D1" s="2"/>
      <c r="E1" s="2"/>
      <c r="F1" s="2"/>
      <c r="G1" s="22"/>
      <c r="H1" s="22"/>
      <c r="I1" s="2"/>
    </row>
    <row r="2" spans="2:9" x14ac:dyDescent="0.25">
      <c r="B2" s="2"/>
      <c r="C2" s="2"/>
      <c r="D2" s="2"/>
      <c r="E2" s="2"/>
      <c r="F2" s="2"/>
      <c r="G2" s="2"/>
      <c r="H2" s="2"/>
      <c r="I2" s="2"/>
    </row>
    <row r="3" spans="2:9" x14ac:dyDescent="0.25">
      <c r="B3" s="2"/>
      <c r="C3" s="2"/>
      <c r="D3" s="2"/>
      <c r="E3" s="2"/>
      <c r="F3" s="2"/>
      <c r="G3" s="2"/>
      <c r="H3" s="2"/>
      <c r="I3" s="2"/>
    </row>
    <row r="4" spans="2:9" x14ac:dyDescent="0.25">
      <c r="B4" s="2"/>
      <c r="C4" s="2"/>
      <c r="D4" s="2"/>
      <c r="E4" s="2"/>
      <c r="F4" s="2"/>
      <c r="G4" s="2"/>
      <c r="H4" s="2"/>
      <c r="I4" s="2"/>
    </row>
    <row r="5" spans="2:9" x14ac:dyDescent="0.25">
      <c r="B5" s="2"/>
      <c r="C5" s="2"/>
      <c r="D5" s="2"/>
      <c r="E5" s="2"/>
      <c r="F5" s="2"/>
      <c r="G5" s="2"/>
      <c r="H5" s="2"/>
      <c r="I5" s="2"/>
    </row>
    <row r="6" spans="2:9" x14ac:dyDescent="0.25">
      <c r="B6" s="2"/>
      <c r="C6" s="2"/>
      <c r="D6" s="2"/>
      <c r="E6" s="2"/>
      <c r="F6" s="2"/>
      <c r="G6" s="2"/>
      <c r="H6" s="2"/>
      <c r="I6" s="2"/>
    </row>
    <row r="7" spans="2:9" x14ac:dyDescent="0.25">
      <c r="B7" s="2"/>
      <c r="C7" s="2"/>
      <c r="D7" s="2"/>
      <c r="E7" s="2"/>
      <c r="F7" s="2"/>
      <c r="G7" s="2"/>
      <c r="H7" s="2"/>
      <c r="I7" s="2"/>
    </row>
    <row r="8" spans="2:9" x14ac:dyDescent="0.25">
      <c r="B8" s="2"/>
      <c r="C8" s="2"/>
      <c r="D8" s="2"/>
      <c r="E8" s="2"/>
      <c r="F8" s="2"/>
      <c r="G8" s="2"/>
      <c r="H8" s="2"/>
      <c r="I8" s="2"/>
    </row>
    <row r="9" spans="2:9" x14ac:dyDescent="0.25">
      <c r="B9" s="2"/>
      <c r="C9" s="2"/>
      <c r="D9" s="2"/>
      <c r="E9" s="2"/>
      <c r="F9" s="2"/>
      <c r="G9" s="2"/>
      <c r="H9" s="2"/>
      <c r="I9" s="2"/>
    </row>
    <row r="10" spans="2:9" x14ac:dyDescent="0.25">
      <c r="B10" s="2"/>
      <c r="C10" s="2"/>
      <c r="D10" s="2"/>
      <c r="E10" s="2"/>
      <c r="F10" s="2"/>
      <c r="G10" s="2"/>
      <c r="H10" s="2"/>
      <c r="I10" s="2"/>
    </row>
  </sheetData>
  <mergeCells count="1">
    <mergeCell ref="G1:H1"/>
  </mergeCells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7"/>
  <dimension ref="A1:Q16"/>
  <sheetViews>
    <sheetView topLeftCell="D1" workbookViewId="0">
      <selection activeCell="M3" sqref="M3"/>
    </sheetView>
  </sheetViews>
  <sheetFormatPr defaultRowHeight="15" x14ac:dyDescent="0.25"/>
  <cols>
    <col min="10" max="12" width="15.7109375" customWidth="1"/>
    <col min="14" max="15" width="15.7109375" customWidth="1"/>
    <col min="16" max="16" width="30.7109375" customWidth="1"/>
  </cols>
  <sheetData>
    <row r="1" spans="1:17" x14ac:dyDescent="0.25">
      <c r="A1" t="s">
        <v>9</v>
      </c>
      <c r="B1">
        <v>50</v>
      </c>
    </row>
    <row r="2" spans="1:17" x14ac:dyDescent="0.25">
      <c r="A2" t="s">
        <v>10</v>
      </c>
      <c r="B2">
        <v>10</v>
      </c>
      <c r="F2" t="s">
        <v>29</v>
      </c>
      <c r="G2" t="s">
        <v>30</v>
      </c>
      <c r="H2" t="s">
        <v>31</v>
      </c>
      <c r="I2" t="s">
        <v>32</v>
      </c>
      <c r="J2" t="s">
        <v>3</v>
      </c>
      <c r="K2" t="s">
        <v>4</v>
      </c>
      <c r="L2" t="s">
        <v>5</v>
      </c>
      <c r="M2">
        <v>0.9</v>
      </c>
      <c r="N2" t="s">
        <v>6</v>
      </c>
      <c r="O2" t="s">
        <v>7</v>
      </c>
      <c r="P2" t="s">
        <v>8</v>
      </c>
      <c r="Q2">
        <v>0.7</v>
      </c>
    </row>
    <row r="3" spans="1:17" x14ac:dyDescent="0.25">
      <c r="A3" t="s">
        <v>11</v>
      </c>
      <c r="B3">
        <v>8</v>
      </c>
      <c r="E3" t="s">
        <v>25</v>
      </c>
      <c r="F3">
        <f>B1*B10-B2*B1</f>
        <v>400</v>
      </c>
      <c r="G3">
        <f>B1*B10-B3*B1</f>
        <v>500</v>
      </c>
      <c r="H3">
        <f>B1*B11-B2*B1</f>
        <v>300</v>
      </c>
      <c r="I3">
        <f>B1*B11-B3*B1</f>
        <v>400</v>
      </c>
      <c r="J3">
        <f>MIN($F$3:$I$3)</f>
        <v>300</v>
      </c>
      <c r="K3">
        <f>MAX($F$10:$I$10)</f>
        <v>100</v>
      </c>
      <c r="M3">
        <f>$J$3*$M$2+MAX($F$3:$I$3)*(1-$M$2)</f>
        <v>320</v>
      </c>
      <c r="N3">
        <f>SUMPRODUCT($F$3:$I$3,$F$8:$I$8)</f>
        <v>370</v>
      </c>
      <c r="O3">
        <f>AVERAGE($F$3:$I$3)</f>
        <v>400</v>
      </c>
      <c r="Q3">
        <f>$Q$2*$N$3+(1-$Q$2)*$J$3</f>
        <v>349</v>
      </c>
    </row>
    <row r="4" spans="1:17" x14ac:dyDescent="0.25">
      <c r="A4" t="s">
        <v>15</v>
      </c>
      <c r="B4">
        <v>11</v>
      </c>
      <c r="E4" t="s">
        <v>26</v>
      </c>
      <c r="F4">
        <f>B10*B1-B4*B1</f>
        <v>350</v>
      </c>
      <c r="G4">
        <f>B1*B10-B5*B1</f>
        <v>550</v>
      </c>
      <c r="H4">
        <f>B1*B11-B4*B1</f>
        <v>250</v>
      </c>
      <c r="I4">
        <f>B1*B11-B5*B1</f>
        <v>450</v>
      </c>
      <c r="J4">
        <f>MIN($F$4:$I$4)</f>
        <v>250</v>
      </c>
      <c r="K4">
        <f>MAX($F$11:$I$11)</f>
        <v>50</v>
      </c>
      <c r="M4">
        <f>$J$4*$M$2+MAX($F$4:$I$4)*(1-$M$2)</f>
        <v>280</v>
      </c>
      <c r="N4">
        <f>SUMPRODUCT($F$4:$I$4,$F$8:$I$8)</f>
        <v>360</v>
      </c>
      <c r="O4">
        <f>AVERAGE($F$4:$I$4)</f>
        <v>400</v>
      </c>
      <c r="Q4">
        <f>$Q$2*$N$4+(1-$Q$2)*$J$4</f>
        <v>327</v>
      </c>
    </row>
    <row r="5" spans="1:17" x14ac:dyDescent="0.25">
      <c r="A5" t="s">
        <v>12</v>
      </c>
      <c r="B5">
        <v>7</v>
      </c>
      <c r="E5" t="s">
        <v>27</v>
      </c>
      <c r="F5">
        <f>B1*B10-B1*B6</f>
        <v>300</v>
      </c>
      <c r="G5">
        <f>B1*B10-B1*B7</f>
        <v>600</v>
      </c>
      <c r="H5">
        <f>B1*B11-B6*B1</f>
        <v>200</v>
      </c>
      <c r="I5">
        <f>B1*B11-B1*B7</f>
        <v>500</v>
      </c>
      <c r="J5">
        <f>MIN($F$5:$I$5)</f>
        <v>200</v>
      </c>
      <c r="K5">
        <f>MAX($F$12:$I$12)</f>
        <v>100</v>
      </c>
      <c r="M5">
        <f>$J$5*$M$2+MAX($F$5:$I$5)*(1-$M$2)</f>
        <v>240</v>
      </c>
      <c r="N5">
        <f>SUMPRODUCT($F$5:$I$5,$F$8:$I$8)</f>
        <v>350</v>
      </c>
      <c r="O5">
        <f>AVERAGE($F$5:$I$5)</f>
        <v>400</v>
      </c>
      <c r="Q5">
        <f>$Q$2*$N$5+(1-$Q$2)*$J$5</f>
        <v>305</v>
      </c>
    </row>
    <row r="6" spans="1:17" x14ac:dyDescent="0.25">
      <c r="A6" t="s">
        <v>13</v>
      </c>
      <c r="B6">
        <v>12</v>
      </c>
      <c r="E6" t="s">
        <v>28</v>
      </c>
      <c r="F6">
        <f>B10*B1-B1*B8</f>
        <v>250</v>
      </c>
      <c r="G6">
        <f>B1*B10-B9*B1</f>
        <v>500</v>
      </c>
      <c r="H6">
        <f>B1*B11-B1*B8</f>
        <v>150</v>
      </c>
      <c r="I6">
        <f>B1*B11-B9*B1</f>
        <v>400</v>
      </c>
      <c r="J6">
        <f>MIN($F$6:$I$6)</f>
        <v>150</v>
      </c>
      <c r="K6">
        <f>MAX($F$13:$I$13)</f>
        <v>150</v>
      </c>
      <c r="M6">
        <f>$J$6*$M$2+MAX($F$6:$I$6)*(1-$M$2)</f>
        <v>185</v>
      </c>
      <c r="N6">
        <f>SUMPRODUCT($F$6:$I$6,$F$8:$I$8)</f>
        <v>280</v>
      </c>
      <c r="O6">
        <f>AVERAGE($F$6:$I$6)</f>
        <v>325</v>
      </c>
      <c r="Q6">
        <f>$Q$2*$N$6+(1-$Q$2)*$J$6</f>
        <v>241</v>
      </c>
    </row>
    <row r="7" spans="1:17" x14ac:dyDescent="0.25">
      <c r="A7" t="s">
        <v>14</v>
      </c>
      <c r="B7">
        <v>6</v>
      </c>
      <c r="E7" t="s">
        <v>2</v>
      </c>
      <c r="F7">
        <f>MAX($F$3:$F$6)</f>
        <v>400</v>
      </c>
      <c r="G7">
        <f>MAX($G$3:$G$6)</f>
        <v>600</v>
      </c>
      <c r="H7">
        <f>MAX($H$3:$H$6)</f>
        <v>300</v>
      </c>
      <c r="I7">
        <f>MAX($I$3:$I$6)</f>
        <v>500</v>
      </c>
    </row>
    <row r="8" spans="1:17" x14ac:dyDescent="0.25">
      <c r="A8" t="s">
        <v>16</v>
      </c>
      <c r="B8">
        <v>13</v>
      </c>
      <c r="E8" t="s">
        <v>1</v>
      </c>
      <c r="F8">
        <f>B12*B14</f>
        <v>0.18</v>
      </c>
      <c r="G8">
        <f>B13*B14</f>
        <v>0.12</v>
      </c>
      <c r="H8">
        <f>B12*B15</f>
        <v>0.42</v>
      </c>
      <c r="I8">
        <f>B13*B15</f>
        <v>0.27999999999999997</v>
      </c>
    </row>
    <row r="9" spans="1:17" x14ac:dyDescent="0.25">
      <c r="A9" t="s">
        <v>17</v>
      </c>
      <c r="B9">
        <v>8</v>
      </c>
    </row>
    <row r="10" spans="1:17" x14ac:dyDescent="0.25">
      <c r="A10" t="s">
        <v>18</v>
      </c>
      <c r="B10">
        <v>18</v>
      </c>
      <c r="E10" t="s">
        <v>0</v>
      </c>
      <c r="F10">
        <f>$F$7-$F$3</f>
        <v>0</v>
      </c>
      <c r="G10">
        <f>$G$7-$G$3</f>
        <v>100</v>
      </c>
      <c r="H10">
        <f>$H$7-$H$3</f>
        <v>0</v>
      </c>
      <c r="I10">
        <f>$I$7-$I$3</f>
        <v>100</v>
      </c>
    </row>
    <row r="11" spans="1:17" x14ac:dyDescent="0.25">
      <c r="A11" t="s">
        <v>19</v>
      </c>
      <c r="B11">
        <v>16</v>
      </c>
      <c r="F11">
        <f>$F$7-$F$4</f>
        <v>50</v>
      </c>
      <c r="G11">
        <f>$G$7-$G$4</f>
        <v>50</v>
      </c>
      <c r="H11">
        <f>$H$7-$H$4</f>
        <v>50</v>
      </c>
      <c r="I11">
        <f>$I$7-$I$4</f>
        <v>50</v>
      </c>
    </row>
    <row r="12" spans="1:17" x14ac:dyDescent="0.25">
      <c r="A12" t="s">
        <v>20</v>
      </c>
      <c r="B12">
        <v>0.6</v>
      </c>
      <c r="F12">
        <f>$F$7-$F$5</f>
        <v>100</v>
      </c>
      <c r="G12">
        <f>$G$7-$G$5</f>
        <v>0</v>
      </c>
      <c r="H12">
        <f>$H$7-$H$5</f>
        <v>100</v>
      </c>
      <c r="I12">
        <f>$I$7-$I$5</f>
        <v>0</v>
      </c>
    </row>
    <row r="13" spans="1:17" x14ac:dyDescent="0.25">
      <c r="A13" t="s">
        <v>21</v>
      </c>
      <c r="B13">
        <v>0.4</v>
      </c>
      <c r="F13">
        <f>$F$7-$F$6</f>
        <v>150</v>
      </c>
      <c r="G13">
        <f>$G$7-$G$6</f>
        <v>100</v>
      </c>
      <c r="H13">
        <f>$H$7-$H$6</f>
        <v>150</v>
      </c>
      <c r="I13">
        <f>$I$7-$I$6</f>
        <v>100</v>
      </c>
    </row>
    <row r="14" spans="1:17" x14ac:dyDescent="0.25">
      <c r="A14" t="s">
        <v>22</v>
      </c>
      <c r="B14">
        <v>0.3</v>
      </c>
    </row>
    <row r="15" spans="1:17" x14ac:dyDescent="0.25">
      <c r="A15" t="s">
        <v>23</v>
      </c>
      <c r="B15">
        <v>0.7</v>
      </c>
    </row>
    <row r="16" spans="1:17" x14ac:dyDescent="0.25">
      <c r="A16" t="s">
        <v>24</v>
      </c>
      <c r="B16">
        <v>0.9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10</vt:i4>
      </vt:variant>
    </vt:vector>
  </HeadingPairs>
  <TitlesOfParts>
    <vt:vector size="10" baseType="lpstr">
      <vt:lpstr>Лист3</vt:lpstr>
      <vt:lpstr>Лист10</vt:lpstr>
      <vt:lpstr>Лист2</vt:lpstr>
      <vt:lpstr>Лист6</vt:lpstr>
      <vt:lpstr>Отчет об устойчивости 1</vt:lpstr>
      <vt:lpstr>Отчет об устойчивости 2</vt:lpstr>
      <vt:lpstr>Лист8</vt:lpstr>
      <vt:lpstr>Лист4</vt:lpstr>
      <vt:lpstr>Лист1</vt:lpstr>
      <vt:lpstr>Лист7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2006-09-16T00:00:00Z</dcterms:created>
  <dcterms:modified xsi:type="dcterms:W3CDTF">2021-05-25T17:41:12Z</dcterms:modified>
</cp:coreProperties>
</file>